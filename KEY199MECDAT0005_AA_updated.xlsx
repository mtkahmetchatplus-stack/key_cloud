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over" sheetId="1" state="visible" r:id="rId1"/>
    <sheet name="Sayfa 1" sheetId="2" state="visible" r:id="rId2"/>
    <sheet name="Sayfa 2" sheetId="3" state="visible" r:id="rId3"/>
  </sheets>
  <definedNames>
    <definedName name="_xlnm.Print_Area" localSheetId="0">'Cover'!$B$2:$Q$56</definedName>
    <definedName name="_xlnm.Print_Area" localSheetId="1">'Sayfa 1'!$A$1:$BS$62</definedName>
    <definedName name="_xlnm.Print_Area" localSheetId="2">'Sayfa 2'!$A$1:$BS$60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General_)"/>
    <numFmt numFmtId="165" formatCode="yyyy-mm-dd h:mm:ss"/>
    <numFmt numFmtId="166" formatCode="0.0000"/>
    <numFmt numFmtId="167" formatCode="0.0"/>
  </numFmts>
  <fonts count="26">
    <font>
      <name val="Calibri"/>
      <family val="2"/>
      <color theme="1"/>
      <sz val="11"/>
      <scheme val="minor"/>
    </font>
    <font>
      <name val="Arial"/>
      <charset val="162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1"/>
    </font>
    <font>
      <name val="Calibri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color theme="1"/>
      <sz val="9"/>
      <scheme val="minor"/>
    </font>
    <font>
      <name val="Arial Narrow"/>
      <charset val="161"/>
      <family val="2"/>
      <sz val="8"/>
    </font>
    <font>
      <name val="Arial Narrow"/>
      <charset val="161"/>
      <family val="2"/>
      <b val="1"/>
      <sz val="12"/>
    </font>
    <font>
      <name val="Arial Narrow"/>
      <charset val="161"/>
      <family val="2"/>
      <sz val="12"/>
    </font>
    <font>
      <name val="Arial Narrow"/>
      <charset val="161"/>
      <family val="2"/>
      <sz val="10"/>
    </font>
    <font>
      <name val="Arial"/>
      <family val="2"/>
      <b val="1"/>
      <color theme="1"/>
      <sz val="20"/>
    </font>
    <font>
      <name val="Arial Narrow"/>
      <charset val="161"/>
      <family val="2"/>
      <sz val="9"/>
    </font>
    <font>
      <name val="Arial Narrow"/>
      <charset val="161"/>
      <family val="2"/>
      <b val="1"/>
      <sz val="8"/>
    </font>
    <font>
      <name val="Arial Narrow"/>
      <family val="2"/>
      <sz val="8"/>
    </font>
    <font>
      <name val="Arial Narrow"/>
      <family val="2"/>
      <b val="1"/>
      <sz val="8"/>
    </font>
    <font>
      <name val="Arial Narrow"/>
      <charset val="161"/>
      <family val="2"/>
      <b val="1"/>
      <sz val="10"/>
    </font>
    <font>
      <name val="Arial Narrow"/>
      <charset val="161"/>
      <family val="2"/>
      <sz val="12"/>
      <u val="single"/>
    </font>
    <font>
      <name val="Arial Narrow"/>
      <charset val="162"/>
      <family val="2"/>
      <b val="1"/>
      <sz val="10"/>
    </font>
    <font>
      <name val="Times New Roman"/>
      <charset val="162"/>
      <family val="1"/>
      <color rgb="FF000000"/>
      <sz val="10"/>
    </font>
    <font>
      <name val="Helv"/>
      <sz val="8"/>
    </font>
    <font>
      <name val="Arial Narrow"/>
      <charset val="161"/>
      <family val="2"/>
      <color indexed="12"/>
      <sz val="10"/>
    </font>
    <font>
      <name val="Arial Narrow"/>
      <charset val="162"/>
      <family val="2"/>
      <b val="1"/>
      <sz val="12"/>
    </font>
    <font>
      <name val="Arial Narrow"/>
      <family val="2"/>
      <color rgb="FF000000"/>
      <sz val="10"/>
    </font>
    <font>
      <name val="Arial Narrow"/>
      <family val="2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2" fillId="0" borderId="0"/>
    <xf numFmtId="0" fontId="2" fillId="0" borderId="0"/>
    <xf numFmtId="0" fontId="3" fillId="0" borderId="0"/>
  </cellStyleXfs>
  <cellXfs count="20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4" fontId="0" fillId="0" borderId="1" applyAlignment="1" pivotButton="0" quotePrefix="0" xfId="0">
      <alignment horizontal="center" vertical="center"/>
    </xf>
    <xf numFmtId="0" fontId="4" fillId="0" borderId="0" pivotButton="0" quotePrefix="0" xfId="1"/>
    <xf numFmtId="0" fontId="2" fillId="0" borderId="0" pivotButton="0" quotePrefix="0" xfId="1"/>
    <xf numFmtId="0" fontId="4" fillId="0" borderId="1" pivotButton="0" quotePrefix="0" xfId="1"/>
    <xf numFmtId="0" fontId="2" fillId="0" borderId="7" pivotButton="0" quotePrefix="0" xfId="1"/>
    <xf numFmtId="0" fontId="2" fillId="0" borderId="8" pivotButton="0" quotePrefix="0" xfId="1"/>
    <xf numFmtId="0" fontId="4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1">
      <alignment horizontal="center"/>
    </xf>
    <xf numFmtId="0" fontId="5" fillId="0" borderId="7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0" fillId="0" borderId="1" applyAlignment="1" pivotButton="0" quotePrefix="0" xfId="1">
      <alignment horizontal="right" vertical="center"/>
    </xf>
    <xf numFmtId="0" fontId="2" fillId="0" borderId="1" applyAlignment="1" pivotButton="0" quotePrefix="0" xfId="1">
      <alignment horizontal="right" vertical="center"/>
    </xf>
    <xf numFmtId="0" fontId="4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7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8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0" fillId="0" borderId="1" applyAlignment="1" pivotButton="0" quotePrefix="0" xfId="1">
      <alignment horizontal="center"/>
    </xf>
    <xf numFmtId="14" fontId="0" fillId="0" borderId="1" applyAlignment="1" pivotButton="0" quotePrefix="0" xfId="1">
      <alignment horizontal="center"/>
    </xf>
    <xf numFmtId="0" fontId="6" fillId="0" borderId="1" applyAlignment="1" pivotButton="0" quotePrefix="0" xfId="1">
      <alignment horizontal="center"/>
    </xf>
    <xf numFmtId="14" fontId="2" fillId="0" borderId="1" applyAlignment="1" pivotButton="0" quotePrefix="0" xfId="1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7" pivotButton="0" quotePrefix="0" xfId="0"/>
    <xf numFmtId="0" fontId="4" fillId="0" borderId="19" applyAlignment="1" pivotButton="0" quotePrefix="0" xfId="1">
      <alignment horizontal="center" vertical="center" wrapText="1"/>
    </xf>
    <xf numFmtId="0" fontId="0" fillId="0" borderId="20" pivotButton="0" quotePrefix="0" xfId="0"/>
    <xf numFmtId="0" fontId="4" fillId="0" borderId="19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21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3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3" pivotButton="0" quotePrefix="0" xfId="0"/>
    <xf numFmtId="0" fontId="0" fillId="0" borderId="12" pivotButton="0" quotePrefix="0" xfId="0"/>
    <xf numFmtId="164" fontId="8" fillId="2" borderId="22" pivotButton="0" quotePrefix="0" xfId="0"/>
    <xf numFmtId="164" fontId="8" fillId="2" borderId="23" pivotButton="0" quotePrefix="0" xfId="0"/>
    <xf numFmtId="164" fontId="8" fillId="2" borderId="24" pivotButton="0" quotePrefix="0" xfId="0"/>
    <xf numFmtId="164" fontId="9" fillId="2" borderId="25" applyAlignment="1" pivotButton="0" quotePrefix="0" xfId="0">
      <alignment horizontal="center" vertical="center"/>
    </xf>
    <xf numFmtId="164" fontId="8" fillId="2" borderId="26" pivotButton="0" quotePrefix="0" xfId="0"/>
    <xf numFmtId="164" fontId="8" fillId="2" borderId="8" pivotButton="0" quotePrefix="0" xfId="0"/>
    <xf numFmtId="164" fontId="9" fillId="2" borderId="7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27" applyAlignment="1" pivotButton="0" quotePrefix="0" xfId="0">
      <alignment vertical="center"/>
    </xf>
    <xf numFmtId="164" fontId="9" fillId="2" borderId="28" applyAlignment="1" pivotButton="0" quotePrefix="0" xfId="0">
      <alignment horizontal="center" vertical="center"/>
    </xf>
    <xf numFmtId="164" fontId="9" fillId="2" borderId="0" applyAlignment="1" pivotButton="0" quotePrefix="0" xfId="0">
      <alignment horizontal="left"/>
    </xf>
    <xf numFmtId="164" fontId="10" fillId="2" borderId="0" pivotButton="0" quotePrefix="0" xfId="0"/>
    <xf numFmtId="164" fontId="11" fillId="2" borderId="0" applyAlignment="1" pivotButton="0" quotePrefix="0" xfId="0">
      <alignment vertical="center"/>
    </xf>
    <xf numFmtId="164" fontId="12" fillId="2" borderId="29" applyAlignment="1" pivotButton="0" quotePrefix="0" xfId="0">
      <alignment wrapText="1"/>
    </xf>
    <xf numFmtId="164" fontId="13" fillId="2" borderId="10" pivotButton="0" quotePrefix="0" xfId="0"/>
    <xf numFmtId="164" fontId="8" fillId="2" borderId="10" pivotButton="0" quotePrefix="0" xfId="0"/>
    <xf numFmtId="164" fontId="10" fillId="2" borderId="10" pivotButton="0" quotePrefix="0" xfId="0"/>
    <xf numFmtId="164" fontId="8" fillId="2" borderId="11" pivotButton="0" quotePrefix="0" xfId="0"/>
    <xf numFmtId="164" fontId="9" fillId="2" borderId="9" applyAlignment="1" pivotButton="0" quotePrefix="0" xfId="0">
      <alignment vertical="center"/>
    </xf>
    <xf numFmtId="164" fontId="9" fillId="2" borderId="10" applyAlignment="1" pivotButton="0" quotePrefix="0" xfId="0">
      <alignment vertical="center"/>
    </xf>
    <xf numFmtId="164" fontId="9" fillId="2" borderId="30" applyAlignment="1" pivotButton="0" quotePrefix="0" xfId="0">
      <alignment vertical="center"/>
    </xf>
    <xf numFmtId="164" fontId="8" fillId="2" borderId="29" pivotButton="0" quotePrefix="0" xfId="0"/>
    <xf numFmtId="164" fontId="14" fillId="2" borderId="10" applyAlignment="1" pivotButton="0" quotePrefix="0" xfId="0">
      <alignment horizontal="left"/>
    </xf>
    <xf numFmtId="164" fontId="11" fillId="2" borderId="10" pivotButton="0" quotePrefix="0" xfId="0"/>
    <xf numFmtId="164" fontId="11" fillId="2" borderId="10" applyAlignment="1" pivotButton="0" quotePrefix="0" xfId="0">
      <alignment horizontal="left"/>
    </xf>
    <xf numFmtId="164" fontId="8" fillId="2" borderId="31" pivotButton="0" quotePrefix="0" xfId="0"/>
    <xf numFmtId="164" fontId="8" fillId="2" borderId="30" pivotButton="0" quotePrefix="0" xfId="0"/>
    <xf numFmtId="164" fontId="15" fillId="2" borderId="10" pivotButton="0" quotePrefix="0" xfId="0"/>
    <xf numFmtId="164" fontId="16" fillId="2" borderId="10" applyAlignment="1" pivotButton="0" quotePrefix="0" xfId="0">
      <alignment horizontal="left"/>
    </xf>
    <xf numFmtId="164" fontId="8" fillId="2" borderId="31" applyAlignment="1" pivotButton="0" quotePrefix="0" xfId="0">
      <alignment horizontal="center"/>
    </xf>
    <xf numFmtId="164" fontId="17" fillId="2" borderId="10" applyAlignment="1" pivotButton="0" quotePrefix="0" xfId="0">
      <alignment horizontal="left"/>
    </xf>
    <xf numFmtId="164" fontId="14" fillId="2" borderId="32" applyAlignment="1" pivotButton="0" quotePrefix="0" xfId="0">
      <alignment horizontal="center"/>
    </xf>
    <xf numFmtId="164" fontId="8" fillId="2" borderId="33" pivotButton="0" quotePrefix="0" xfId="0"/>
    <xf numFmtId="164" fontId="8" fillId="2" borderId="34" pivotButton="0" quotePrefix="0" xfId="0"/>
    <xf numFmtId="164" fontId="8" fillId="2" borderId="35" pivotButton="0" quotePrefix="0" xfId="0"/>
    <xf numFmtId="14" fontId="8" fillId="2" borderId="32" applyAlignment="1" pivotButton="0" quotePrefix="0" xfId="0">
      <alignment horizontal="center"/>
    </xf>
    <xf numFmtId="164" fontId="18" fillId="2" borderId="0" applyAlignment="1" pivotButton="0" quotePrefix="0" xfId="0">
      <alignment horizontal="left"/>
    </xf>
    <xf numFmtId="164" fontId="8" fillId="2" borderId="27" pivotButton="0" quotePrefix="0" xfId="0"/>
    <xf numFmtId="164" fontId="8" fillId="2" borderId="32" applyAlignment="1" pivotButton="0" quotePrefix="0" xfId="0">
      <alignment horizontal="center"/>
    </xf>
    <xf numFmtId="164" fontId="19" fillId="2" borderId="0" applyAlignment="1" pivotButton="0" quotePrefix="0" xfId="0">
      <alignment vertical="top"/>
    </xf>
    <xf numFmtId="164" fontId="20" fillId="2" borderId="0" applyAlignment="1" pivotButton="0" quotePrefix="0" xfId="0">
      <alignment horizontal="center" vertical="center" readingOrder="1"/>
    </xf>
    <xf numFmtId="164" fontId="8" fillId="2" borderId="0" applyAlignment="1" pivotButton="0" quotePrefix="0" xfId="0">
      <alignment vertical="top"/>
    </xf>
    <xf numFmtId="164" fontId="8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right" vertical="center" textRotation="90"/>
    </xf>
    <xf numFmtId="164" fontId="21" fillId="2" borderId="0" pivotButton="0" quotePrefix="0" xfId="0"/>
    <xf numFmtId="164" fontId="8" fillId="2" borderId="0" applyAlignment="1" pivotButton="0" quotePrefix="0" xfId="0">
      <alignment horizontal="center" textRotation="90"/>
    </xf>
    <xf numFmtId="164" fontId="8" fillId="2" borderId="0" applyAlignment="1" pivotButton="0" quotePrefix="0" xfId="0">
      <alignment textRotation="90"/>
    </xf>
    <xf numFmtId="164" fontId="8" fillId="2" borderId="36" pivotButton="0" quotePrefix="0" xfId="0"/>
    <xf numFmtId="164" fontId="15" fillId="2" borderId="34" applyAlignment="1" pivotButton="0" quotePrefix="0" xfId="0">
      <alignment horizontal="left"/>
    </xf>
    <xf numFmtId="164" fontId="15" fillId="2" borderId="34" pivotButton="0" quotePrefix="0" xfId="0"/>
    <xf numFmtId="164" fontId="15" fillId="2" borderId="35" pivotButton="0" quotePrefix="0" xfId="0"/>
    <xf numFmtId="164" fontId="15" fillId="2" borderId="27" applyAlignment="1" pivotButton="0" quotePrefix="0" xfId="0">
      <alignment horizontal="left" vertical="center"/>
    </xf>
    <xf numFmtId="164" fontId="8" fillId="2" borderId="27" applyAlignment="1" pivotButton="0" quotePrefix="0" xfId="0">
      <alignment horizontal="left" vertical="center"/>
    </xf>
    <xf numFmtId="164" fontId="8" fillId="2" borderId="37" pivotButton="0" quotePrefix="0" xfId="0"/>
    <xf numFmtId="164" fontId="8" fillId="2" borderId="38" pivotButton="0" quotePrefix="0" xfId="0"/>
    <xf numFmtId="164" fontId="8" fillId="2" borderId="39" pivotButton="0" quotePrefix="0" xfId="0"/>
    <xf numFmtId="164" fontId="14" fillId="2" borderId="40" applyAlignment="1" pivotButton="0" quotePrefix="0" xfId="0">
      <alignment horizontal="left"/>
    </xf>
    <xf numFmtId="164" fontId="8" fillId="2" borderId="40" pivotButton="0" quotePrefix="0" xfId="0"/>
    <xf numFmtId="164" fontId="8" fillId="2" borderId="40" applyAlignment="1" pivotButton="0" quotePrefix="0" xfId="0">
      <alignment horizontal="left"/>
    </xf>
    <xf numFmtId="164" fontId="8" fillId="2" borderId="40" applyAlignment="1" pivotButton="0" quotePrefix="0" xfId="0">
      <alignment horizontal="center"/>
    </xf>
    <xf numFmtId="164" fontId="8" fillId="2" borderId="41" pivotButton="0" quotePrefix="0" xfId="0"/>
    <xf numFmtId="164" fontId="22" fillId="2" borderId="0" applyProtection="1" pivotButton="0" quotePrefix="0" xfId="0">
      <protection locked="0" hidden="0"/>
    </xf>
    <xf numFmtId="164" fontId="23" fillId="2" borderId="7" applyAlignment="1" pivotButton="0" quotePrefix="0" xfId="0">
      <alignment vertical="center"/>
    </xf>
    <xf numFmtId="164" fontId="23" fillId="2" borderId="0" applyAlignment="1" pivotButton="0" quotePrefix="0" xfId="0">
      <alignment vertical="center"/>
    </xf>
    <xf numFmtId="164" fontId="23" fillId="2" borderId="27" applyAlignment="1" pivotButton="0" quotePrefix="0" xfId="0">
      <alignment vertical="center"/>
    </xf>
    <xf numFmtId="164" fontId="23" fillId="2" borderId="9" applyAlignment="1" pivotButton="0" quotePrefix="0" xfId="0">
      <alignment vertical="center"/>
    </xf>
    <xf numFmtId="164" fontId="23" fillId="2" borderId="10" applyAlignment="1" pivotButton="0" quotePrefix="0" xfId="0">
      <alignment vertical="center"/>
    </xf>
    <xf numFmtId="164" fontId="23" fillId="2" borderId="30" applyAlignment="1" pivotButton="0" quotePrefix="0" xfId="0">
      <alignment vertical="center"/>
    </xf>
    <xf numFmtId="164" fontId="8" fillId="2" borderId="31" applyAlignment="1" applyProtection="1" pivotButton="0" quotePrefix="0" xfId="0">
      <alignment vertical="center"/>
      <protection locked="0" hidden="0"/>
    </xf>
    <xf numFmtId="164" fontId="8" fillId="2" borderId="10" applyAlignment="1" pivotButton="0" quotePrefix="0" xfId="0">
      <alignment horizontal="left"/>
    </xf>
    <xf numFmtId="164" fontId="11" fillId="2" borderId="30" pivotButton="0" quotePrefix="0" xfId="0"/>
    <xf numFmtId="164" fontId="8" fillId="2" borderId="10" applyAlignment="1" applyProtection="1" pivotButton="0" quotePrefix="0" xfId="0">
      <alignment vertical="center"/>
      <protection locked="0" hidden="0"/>
    </xf>
    <xf numFmtId="164" fontId="11" fillId="2" borderId="29" pivotButton="0" quotePrefix="0" xfId="0"/>
    <xf numFmtId="164" fontId="15" fillId="2" borderId="10" applyAlignment="1" pivotButton="0" quotePrefix="0" xfId="0">
      <alignment horizontal="left"/>
    </xf>
    <xf numFmtId="164" fontId="11" fillId="2" borderId="11" pivotButton="0" quotePrefix="0" xfId="0"/>
    <xf numFmtId="164" fontId="11" fillId="2" borderId="42" pivotButton="0" quotePrefix="0" xfId="0"/>
    <xf numFmtId="164" fontId="11" fillId="2" borderId="31" pivotButton="0" quotePrefix="0" xfId="0"/>
    <xf numFmtId="164" fontId="11" fillId="2" borderId="31" applyAlignment="1" pivotButton="0" quotePrefix="0" xfId="0">
      <alignment horizontal="left"/>
    </xf>
    <xf numFmtId="164" fontId="11" fillId="2" borderId="43" pivotButton="0" quotePrefix="0" xfId="0"/>
    <xf numFmtId="164" fontId="11" fillId="2" borderId="7" pivotButton="0" quotePrefix="0" xfId="0"/>
    <xf numFmtId="164" fontId="11" fillId="2" borderId="0" pivotButton="0" quotePrefix="0" xfId="0"/>
    <xf numFmtId="164" fontId="11" fillId="2" borderId="27" pivotButton="0" quotePrefix="0" xfId="0"/>
    <xf numFmtId="164" fontId="17" fillId="2" borderId="44" applyAlignment="1" pivotButton="0" quotePrefix="0" xfId="0">
      <alignment horizontal="center"/>
    </xf>
    <xf numFmtId="164" fontId="11" fillId="2" borderId="26" pivotButton="0" quotePrefix="0" xfId="0"/>
    <xf numFmtId="164" fontId="11" fillId="2" borderId="0" applyAlignment="1" pivotButton="0" quotePrefix="0" xfId="0">
      <alignment horizontal="left"/>
    </xf>
    <xf numFmtId="164" fontId="11" fillId="2" borderId="8" pivotButton="0" quotePrefix="0" xfId="0"/>
    <xf numFmtId="164" fontId="11" fillId="2" borderId="42" applyAlignment="1" pivotButton="0" quotePrefix="0" xfId="0">
      <alignment horizontal="center" vertical="center"/>
    </xf>
    <xf numFmtId="164" fontId="11" fillId="2" borderId="45" applyAlignment="1" pivotButton="0" quotePrefix="0" xfId="0">
      <alignment horizontal="center" vertical="center"/>
    </xf>
    <xf numFmtId="164" fontId="11" fillId="2" borderId="46" applyAlignment="1" pivotButton="0" quotePrefix="0" xfId="0">
      <alignment horizontal="center" vertical="center" wrapText="1"/>
    </xf>
    <xf numFmtId="164" fontId="11" fillId="2" borderId="45" applyAlignment="1" pivotButton="0" quotePrefix="0" xfId="0">
      <alignment horizontal="left"/>
    </xf>
    <xf numFmtId="164" fontId="11" fillId="2" borderId="31" applyAlignment="1" pivotButton="0" quotePrefix="0" xfId="0">
      <alignment horizontal="center"/>
    </xf>
    <xf numFmtId="164" fontId="11" fillId="2" borderId="10" applyAlignment="1" pivotButton="0" quotePrefix="0" xfId="0">
      <alignment horizontal="center"/>
    </xf>
    <xf numFmtId="164" fontId="11" fillId="2" borderId="47" applyAlignment="1" pivotButton="0" quotePrefix="0" xfId="0">
      <alignment horizontal="center"/>
    </xf>
    <xf numFmtId="164" fontId="11" fillId="0" borderId="48" applyAlignment="1" pivotButton="0" quotePrefix="0" xfId="0">
      <alignment horizontal="center"/>
    </xf>
    <xf numFmtId="164" fontId="11" fillId="0" borderId="32" applyAlignment="1" pivotButton="0" quotePrefix="0" xfId="0">
      <alignment horizontal="center"/>
    </xf>
    <xf numFmtId="164" fontId="11" fillId="0" borderId="42" applyAlignment="1" pivotButton="0" quotePrefix="0" xfId="0">
      <alignment horizontal="center"/>
    </xf>
    <xf numFmtId="164" fontId="11" fillId="0" borderId="49" applyAlignment="1" pivotButton="0" quotePrefix="0" xfId="0">
      <alignment horizontal="center"/>
    </xf>
    <xf numFmtId="164" fontId="11" fillId="0" borderId="45" applyAlignment="1" pivotButton="0" quotePrefix="0" xfId="0">
      <alignment horizontal="center"/>
    </xf>
    <xf numFmtId="164" fontId="11" fillId="2" borderId="50" applyAlignment="1" pivotButton="0" quotePrefix="0" xfId="0">
      <alignment horizontal="center"/>
    </xf>
    <xf numFmtId="164" fontId="11" fillId="2" borderId="9" pivotButton="0" quotePrefix="0" xfId="0"/>
    <xf numFmtId="164" fontId="11" fillId="2" borderId="45" applyAlignment="1" pivotButton="0" quotePrefix="0" xfId="0">
      <alignment horizontal="left" vertical="center"/>
    </xf>
    <xf numFmtId="164" fontId="11" fillId="2" borderId="45" applyAlignment="1" pivotButton="0" quotePrefix="0" xfId="0">
      <alignment horizontal="center"/>
    </xf>
    <xf numFmtId="164" fontId="24" fillId="2" borderId="51" applyAlignment="1" pivotButton="0" quotePrefix="0" xfId="0">
      <alignment horizontal="left"/>
    </xf>
    <xf numFmtId="1" fontId="11" fillId="2" borderId="43" applyAlignment="1" pivotButton="0" quotePrefix="0" xfId="0">
      <alignment horizontal="center"/>
    </xf>
    <xf numFmtId="164" fontId="24" fillId="2" borderId="45" applyAlignment="1" pivotButton="0" quotePrefix="0" xfId="0">
      <alignment horizontal="left"/>
    </xf>
    <xf numFmtId="164" fontId="11" fillId="0" borderId="48" applyAlignment="1" pivotButton="0" quotePrefix="0" xfId="0">
      <alignment horizontal="center" vertical="center"/>
    </xf>
    <xf numFmtId="164" fontId="11" fillId="0" borderId="32" applyAlignment="1" pivotButton="0" quotePrefix="0" xfId="0">
      <alignment horizontal="center" vertical="center"/>
    </xf>
    <xf numFmtId="164" fontId="11" fillId="0" borderId="42" applyAlignment="1" pivotButton="0" quotePrefix="0" xfId="0">
      <alignment horizontal="center" vertical="center"/>
    </xf>
    <xf numFmtId="164" fontId="11" fillId="0" borderId="52" applyAlignment="1" pivotButton="0" quotePrefix="0" xfId="0">
      <alignment horizontal="center"/>
    </xf>
    <xf numFmtId="164" fontId="24" fillId="2" borderId="53" applyAlignment="1" pivotButton="0" quotePrefix="0" xfId="0">
      <alignment horizontal="left"/>
    </xf>
    <xf numFmtId="166" fontId="11" fillId="2" borderId="43" applyAlignment="1" pivotButton="0" quotePrefix="0" xfId="0">
      <alignment horizontal="center"/>
    </xf>
    <xf numFmtId="164" fontId="11" fillId="2" borderId="0" applyAlignment="1" pivotButton="0" quotePrefix="0" xfId="0">
      <alignment horizontal="center"/>
    </xf>
    <xf numFmtId="164" fontId="11" fillId="0" borderId="45" applyAlignment="1" pivotButton="0" quotePrefix="0" xfId="0">
      <alignment horizontal="center" vertical="center"/>
    </xf>
    <xf numFmtId="164" fontId="25" fillId="0" borderId="48" applyAlignment="1" pivotButton="0" quotePrefix="0" xfId="0">
      <alignment horizontal="center" vertical="center"/>
    </xf>
    <xf numFmtId="164" fontId="25" fillId="0" borderId="32" applyAlignment="1" pivotButton="0" quotePrefix="0" xfId="0">
      <alignment horizontal="center" vertical="center"/>
    </xf>
    <xf numFmtId="164" fontId="25" fillId="0" borderId="54" applyAlignment="1" pivotButton="0" quotePrefix="0" xfId="0">
      <alignment horizontal="center" vertical="center"/>
    </xf>
    <xf numFmtId="164" fontId="25" fillId="0" borderId="45" applyAlignment="1" pivotButton="0" quotePrefix="0" xfId="0">
      <alignment horizontal="center" vertical="center"/>
    </xf>
    <xf numFmtId="164" fontId="11" fillId="2" borderId="55" applyAlignment="1" pivotButton="0" quotePrefix="0" xfId="0">
      <alignment horizontal="center"/>
    </xf>
    <xf numFmtId="164" fontId="8" fillId="2" borderId="45" applyAlignment="1" pivotButton="0" quotePrefix="0" xfId="0">
      <alignment horizontal="center"/>
    </xf>
    <xf numFmtId="167" fontId="11" fillId="2" borderId="43" applyAlignment="1" pivotButton="0" quotePrefix="0" xfId="0">
      <alignment horizontal="center"/>
    </xf>
    <xf numFmtId="164" fontId="17" fillId="2" borderId="56" applyAlignment="1" pivotButton="0" quotePrefix="0" xfId="0">
      <alignment horizontal="center"/>
    </xf>
    <xf numFmtId="164" fontId="25" fillId="0" borderId="42" applyAlignment="1" pivotButton="0" quotePrefix="0" xfId="0">
      <alignment horizontal="center" vertical="center"/>
    </xf>
    <xf numFmtId="164" fontId="11" fillId="2" borderId="42" applyAlignment="1" pivotButton="0" quotePrefix="0" xfId="0">
      <alignment horizontal="left"/>
    </xf>
    <xf numFmtId="164" fontId="11" fillId="2" borderId="46" applyAlignment="1" pivotButton="0" quotePrefix="0" xfId="0">
      <alignment horizontal="center"/>
    </xf>
    <xf numFmtId="164" fontId="11" fillId="2" borderId="50" pivotButton="0" quotePrefix="0" xfId="0"/>
    <xf numFmtId="164" fontId="11" fillId="2" borderId="50" applyAlignment="1" pivotButton="0" quotePrefix="0" xfId="0">
      <alignment horizontal="center" vertical="center"/>
    </xf>
    <xf numFmtId="164" fontId="11" fillId="2" borderId="32" applyAlignment="1" pivotButton="0" quotePrefix="0" xfId="0">
      <alignment horizontal="center"/>
    </xf>
    <xf numFmtId="164" fontId="11" fillId="0" borderId="54" applyAlignment="1" pivotButton="0" quotePrefix="0" xfId="0">
      <alignment horizontal="center" vertical="center"/>
    </xf>
    <xf numFmtId="164" fontId="11" fillId="2" borderId="55" applyAlignment="1" pivotButton="0" quotePrefix="0" xfId="0">
      <alignment horizontal="center" vertical="center"/>
    </xf>
    <xf numFmtId="164" fontId="11" fillId="2" borderId="48" applyAlignment="1" pivotButton="0" quotePrefix="0" xfId="0">
      <alignment horizontal="center"/>
    </xf>
    <xf numFmtId="164" fontId="11" fillId="2" borderId="42" applyAlignment="1" pivotButton="0" quotePrefix="0" xfId="0">
      <alignment horizontal="center"/>
    </xf>
    <xf numFmtId="164" fontId="11" fillId="2" borderId="37" pivotButton="0" quotePrefix="0" xfId="0"/>
    <xf numFmtId="164" fontId="11" fillId="2" borderId="38" pivotButton="0" quotePrefix="0" xfId="0"/>
    <xf numFmtId="164" fontId="11" fillId="2" borderId="57" pivotButton="0" quotePrefix="0" xfId="0"/>
    <xf numFmtId="164" fontId="11" fillId="2" borderId="58" pivotButton="0" quotePrefix="0" xfId="0"/>
    <xf numFmtId="164" fontId="11" fillId="2" borderId="59" pivotButton="0" quotePrefix="0" xfId="0"/>
    <xf numFmtId="164" fontId="17" fillId="2" borderId="39" applyAlignment="1" pivotButton="0" quotePrefix="0" xfId="0">
      <alignment horizontal="center" vertical="center"/>
    </xf>
    <xf numFmtId="164" fontId="11" fillId="2" borderId="60" applyAlignment="1" pivotButton="0" quotePrefix="0" xfId="0">
      <alignment horizontal="center" vertical="center"/>
    </xf>
    <xf numFmtId="164" fontId="11" fillId="2" borderId="40" applyAlignment="1" pivotButton="0" quotePrefix="0" xfId="0">
      <alignment horizontal="center" vertical="center"/>
    </xf>
    <xf numFmtId="164" fontId="17" fillId="2" borderId="40" applyAlignment="1" pivotButton="0" quotePrefix="0" xfId="0">
      <alignment horizontal="center" vertical="center"/>
    </xf>
    <xf numFmtId="164" fontId="11" fillId="2" borderId="40" pivotButton="0" quotePrefix="0" xfId="0"/>
    <xf numFmtId="164" fontId="11" fillId="2" borderId="41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R56"/>
  <sheetViews>
    <sheetView view="pageBreakPreview" topLeftCell="A4" zoomScale="85" zoomScaleNormal="85" zoomScaleSheetLayoutView="85" workbookViewId="0">
      <selection activeCell="D55" sqref="D55:E55"/>
    </sheetView>
  </sheetViews>
  <sheetFormatPr baseColWidth="8" defaultRowHeight="15"/>
  <cols>
    <col width="9.140625" customWidth="1" style="6" min="1" max="1"/>
    <col width="10.28515625" customWidth="1" style="6" min="2" max="3"/>
    <col width="9.140625" customWidth="1" style="6" min="4" max="8"/>
    <col width="4.140625" customWidth="1" style="6" min="9" max="17"/>
    <col width="9.140625" customWidth="1" style="6" min="18" max="257"/>
    <col width="10.28515625" customWidth="1" style="6" min="258" max="259"/>
    <col width="9.140625" customWidth="1" style="6" min="260" max="264"/>
    <col width="4.140625" customWidth="1" style="6" min="265" max="273"/>
    <col width="9.140625" customWidth="1" style="6" min="274" max="513"/>
    <col width="10.28515625" customWidth="1" style="6" min="514" max="515"/>
    <col width="9.140625" customWidth="1" style="6" min="516" max="520"/>
    <col width="4.140625" customWidth="1" style="6" min="521" max="529"/>
    <col width="9.140625" customWidth="1" style="6" min="530" max="769"/>
    <col width="10.28515625" customWidth="1" style="6" min="770" max="771"/>
    <col width="9.140625" customWidth="1" style="6" min="772" max="776"/>
    <col width="4.140625" customWidth="1" style="6" min="777" max="785"/>
    <col width="9.140625" customWidth="1" style="6" min="786" max="1025"/>
    <col width="10.28515625" customWidth="1" style="6" min="1026" max="1027"/>
    <col width="9.140625" customWidth="1" style="6" min="1028" max="1032"/>
    <col width="4.140625" customWidth="1" style="6" min="1033" max="1041"/>
    <col width="9.140625" customWidth="1" style="6" min="1042" max="1281"/>
    <col width="10.28515625" customWidth="1" style="6" min="1282" max="1283"/>
    <col width="9.140625" customWidth="1" style="6" min="1284" max="1288"/>
    <col width="4.140625" customWidth="1" style="6" min="1289" max="1297"/>
    <col width="9.140625" customWidth="1" style="6" min="1298" max="1537"/>
    <col width="10.28515625" customWidth="1" style="6" min="1538" max="1539"/>
    <col width="9.140625" customWidth="1" style="6" min="1540" max="1544"/>
    <col width="4.140625" customWidth="1" style="6" min="1545" max="1553"/>
    <col width="9.140625" customWidth="1" style="6" min="1554" max="1793"/>
    <col width="10.28515625" customWidth="1" style="6" min="1794" max="1795"/>
    <col width="9.140625" customWidth="1" style="6" min="1796" max="1800"/>
    <col width="4.140625" customWidth="1" style="6" min="1801" max="1809"/>
    <col width="9.140625" customWidth="1" style="6" min="1810" max="2049"/>
    <col width="10.28515625" customWidth="1" style="6" min="2050" max="2051"/>
    <col width="9.140625" customWidth="1" style="6" min="2052" max="2056"/>
    <col width="4.140625" customWidth="1" style="6" min="2057" max="2065"/>
    <col width="9.140625" customWidth="1" style="6" min="2066" max="2305"/>
    <col width="10.28515625" customWidth="1" style="6" min="2306" max="2307"/>
    <col width="9.140625" customWidth="1" style="6" min="2308" max="2312"/>
    <col width="4.140625" customWidth="1" style="6" min="2313" max="2321"/>
    <col width="9.140625" customWidth="1" style="6" min="2322" max="2561"/>
    <col width="10.28515625" customWidth="1" style="6" min="2562" max="2563"/>
    <col width="9.140625" customWidth="1" style="6" min="2564" max="2568"/>
    <col width="4.140625" customWidth="1" style="6" min="2569" max="2577"/>
    <col width="9.140625" customWidth="1" style="6" min="2578" max="2817"/>
    <col width="10.28515625" customWidth="1" style="6" min="2818" max="2819"/>
    <col width="9.140625" customWidth="1" style="6" min="2820" max="2824"/>
    <col width="4.140625" customWidth="1" style="6" min="2825" max="2833"/>
    <col width="9.140625" customWidth="1" style="6" min="2834" max="3073"/>
    <col width="10.28515625" customWidth="1" style="6" min="3074" max="3075"/>
    <col width="9.140625" customWidth="1" style="6" min="3076" max="3080"/>
    <col width="4.140625" customWidth="1" style="6" min="3081" max="3089"/>
    <col width="9.140625" customWidth="1" style="6" min="3090" max="3329"/>
    <col width="10.28515625" customWidth="1" style="6" min="3330" max="3331"/>
    <col width="9.140625" customWidth="1" style="6" min="3332" max="3336"/>
    <col width="4.140625" customWidth="1" style="6" min="3337" max="3345"/>
    <col width="9.140625" customWidth="1" style="6" min="3346" max="3585"/>
    <col width="10.28515625" customWidth="1" style="6" min="3586" max="3587"/>
    <col width="9.140625" customWidth="1" style="6" min="3588" max="3592"/>
    <col width="4.140625" customWidth="1" style="6" min="3593" max="3601"/>
    <col width="9.140625" customWidth="1" style="6" min="3602" max="3841"/>
    <col width="10.28515625" customWidth="1" style="6" min="3842" max="3843"/>
    <col width="9.140625" customWidth="1" style="6" min="3844" max="3848"/>
    <col width="4.140625" customWidth="1" style="6" min="3849" max="3857"/>
    <col width="9.140625" customWidth="1" style="6" min="3858" max="4097"/>
    <col width="10.28515625" customWidth="1" style="6" min="4098" max="4099"/>
    <col width="9.140625" customWidth="1" style="6" min="4100" max="4104"/>
    <col width="4.140625" customWidth="1" style="6" min="4105" max="4113"/>
    <col width="9.140625" customWidth="1" style="6" min="4114" max="4353"/>
    <col width="10.28515625" customWidth="1" style="6" min="4354" max="4355"/>
    <col width="9.140625" customWidth="1" style="6" min="4356" max="4360"/>
    <col width="4.140625" customWidth="1" style="6" min="4361" max="4369"/>
    <col width="9.140625" customWidth="1" style="6" min="4370" max="4609"/>
    <col width="10.28515625" customWidth="1" style="6" min="4610" max="4611"/>
    <col width="9.140625" customWidth="1" style="6" min="4612" max="4616"/>
    <col width="4.140625" customWidth="1" style="6" min="4617" max="4625"/>
    <col width="9.140625" customWidth="1" style="6" min="4626" max="4865"/>
    <col width="10.28515625" customWidth="1" style="6" min="4866" max="4867"/>
    <col width="9.140625" customWidth="1" style="6" min="4868" max="4872"/>
    <col width="4.140625" customWidth="1" style="6" min="4873" max="4881"/>
    <col width="9.140625" customWidth="1" style="6" min="4882" max="5121"/>
    <col width="10.28515625" customWidth="1" style="6" min="5122" max="5123"/>
    <col width="9.140625" customWidth="1" style="6" min="5124" max="5128"/>
    <col width="4.140625" customWidth="1" style="6" min="5129" max="5137"/>
    <col width="9.140625" customWidth="1" style="6" min="5138" max="5377"/>
    <col width="10.28515625" customWidth="1" style="6" min="5378" max="5379"/>
    <col width="9.140625" customWidth="1" style="6" min="5380" max="5384"/>
    <col width="4.140625" customWidth="1" style="6" min="5385" max="5393"/>
    <col width="9.140625" customWidth="1" style="6" min="5394" max="5633"/>
    <col width="10.28515625" customWidth="1" style="6" min="5634" max="5635"/>
    <col width="9.140625" customWidth="1" style="6" min="5636" max="5640"/>
    <col width="4.140625" customWidth="1" style="6" min="5641" max="5649"/>
    <col width="9.140625" customWidth="1" style="6" min="5650" max="5889"/>
    <col width="10.28515625" customWidth="1" style="6" min="5890" max="5891"/>
    <col width="9.140625" customWidth="1" style="6" min="5892" max="5896"/>
    <col width="4.140625" customWidth="1" style="6" min="5897" max="5905"/>
    <col width="9.140625" customWidth="1" style="6" min="5906" max="6145"/>
    <col width="10.28515625" customWidth="1" style="6" min="6146" max="6147"/>
    <col width="9.140625" customWidth="1" style="6" min="6148" max="6152"/>
    <col width="4.140625" customWidth="1" style="6" min="6153" max="6161"/>
    <col width="9.140625" customWidth="1" style="6" min="6162" max="6401"/>
    <col width="10.28515625" customWidth="1" style="6" min="6402" max="6403"/>
    <col width="9.140625" customWidth="1" style="6" min="6404" max="6408"/>
    <col width="4.140625" customWidth="1" style="6" min="6409" max="6417"/>
    <col width="9.140625" customWidth="1" style="6" min="6418" max="6657"/>
    <col width="10.28515625" customWidth="1" style="6" min="6658" max="6659"/>
    <col width="9.140625" customWidth="1" style="6" min="6660" max="6664"/>
    <col width="4.140625" customWidth="1" style="6" min="6665" max="6673"/>
    <col width="9.140625" customWidth="1" style="6" min="6674" max="6913"/>
    <col width="10.28515625" customWidth="1" style="6" min="6914" max="6915"/>
    <col width="9.140625" customWidth="1" style="6" min="6916" max="6920"/>
    <col width="4.140625" customWidth="1" style="6" min="6921" max="6929"/>
    <col width="9.140625" customWidth="1" style="6" min="6930" max="7169"/>
    <col width="10.28515625" customWidth="1" style="6" min="7170" max="7171"/>
    <col width="9.140625" customWidth="1" style="6" min="7172" max="7176"/>
    <col width="4.140625" customWidth="1" style="6" min="7177" max="7185"/>
    <col width="9.140625" customWidth="1" style="6" min="7186" max="7425"/>
    <col width="10.28515625" customWidth="1" style="6" min="7426" max="7427"/>
    <col width="9.140625" customWidth="1" style="6" min="7428" max="7432"/>
    <col width="4.140625" customWidth="1" style="6" min="7433" max="7441"/>
    <col width="9.140625" customWidth="1" style="6" min="7442" max="7681"/>
    <col width="10.28515625" customWidth="1" style="6" min="7682" max="7683"/>
    <col width="9.140625" customWidth="1" style="6" min="7684" max="7688"/>
    <col width="4.140625" customWidth="1" style="6" min="7689" max="7697"/>
    <col width="9.140625" customWidth="1" style="6" min="7698" max="7937"/>
    <col width="10.28515625" customWidth="1" style="6" min="7938" max="7939"/>
    <col width="9.140625" customWidth="1" style="6" min="7940" max="7944"/>
    <col width="4.140625" customWidth="1" style="6" min="7945" max="7953"/>
    <col width="9.140625" customWidth="1" style="6" min="7954" max="8193"/>
    <col width="10.28515625" customWidth="1" style="6" min="8194" max="8195"/>
    <col width="9.140625" customWidth="1" style="6" min="8196" max="8200"/>
    <col width="4.140625" customWidth="1" style="6" min="8201" max="8209"/>
    <col width="9.140625" customWidth="1" style="6" min="8210" max="8449"/>
    <col width="10.28515625" customWidth="1" style="6" min="8450" max="8451"/>
    <col width="9.140625" customWidth="1" style="6" min="8452" max="8456"/>
    <col width="4.140625" customWidth="1" style="6" min="8457" max="8465"/>
    <col width="9.140625" customWidth="1" style="6" min="8466" max="8705"/>
    <col width="10.28515625" customWidth="1" style="6" min="8706" max="8707"/>
    <col width="9.140625" customWidth="1" style="6" min="8708" max="8712"/>
    <col width="4.140625" customWidth="1" style="6" min="8713" max="8721"/>
    <col width="9.140625" customWidth="1" style="6" min="8722" max="8961"/>
    <col width="10.28515625" customWidth="1" style="6" min="8962" max="8963"/>
    <col width="9.140625" customWidth="1" style="6" min="8964" max="8968"/>
    <col width="4.140625" customWidth="1" style="6" min="8969" max="8977"/>
    <col width="9.140625" customWidth="1" style="6" min="8978" max="9217"/>
    <col width="10.28515625" customWidth="1" style="6" min="9218" max="9219"/>
    <col width="9.140625" customWidth="1" style="6" min="9220" max="9224"/>
    <col width="4.140625" customWidth="1" style="6" min="9225" max="9233"/>
    <col width="9.140625" customWidth="1" style="6" min="9234" max="9473"/>
    <col width="10.28515625" customWidth="1" style="6" min="9474" max="9475"/>
    <col width="9.140625" customWidth="1" style="6" min="9476" max="9480"/>
    <col width="4.140625" customWidth="1" style="6" min="9481" max="9489"/>
    <col width="9.140625" customWidth="1" style="6" min="9490" max="9729"/>
    <col width="10.28515625" customWidth="1" style="6" min="9730" max="9731"/>
    <col width="9.140625" customWidth="1" style="6" min="9732" max="9736"/>
    <col width="4.140625" customWidth="1" style="6" min="9737" max="9745"/>
    <col width="9.140625" customWidth="1" style="6" min="9746" max="9985"/>
    <col width="10.28515625" customWidth="1" style="6" min="9986" max="9987"/>
    <col width="9.140625" customWidth="1" style="6" min="9988" max="9992"/>
    <col width="4.140625" customWidth="1" style="6" min="9993" max="10001"/>
    <col width="9.140625" customWidth="1" style="6" min="10002" max="10241"/>
    <col width="10.28515625" customWidth="1" style="6" min="10242" max="10243"/>
    <col width="9.140625" customWidth="1" style="6" min="10244" max="10248"/>
    <col width="4.140625" customWidth="1" style="6" min="10249" max="10257"/>
    <col width="9.140625" customWidth="1" style="6" min="10258" max="10497"/>
    <col width="10.28515625" customWidth="1" style="6" min="10498" max="10499"/>
    <col width="9.140625" customWidth="1" style="6" min="10500" max="10504"/>
    <col width="4.140625" customWidth="1" style="6" min="10505" max="10513"/>
    <col width="9.140625" customWidth="1" style="6" min="10514" max="10753"/>
    <col width="10.28515625" customWidth="1" style="6" min="10754" max="10755"/>
    <col width="9.140625" customWidth="1" style="6" min="10756" max="10760"/>
    <col width="4.140625" customWidth="1" style="6" min="10761" max="10769"/>
    <col width="9.140625" customWidth="1" style="6" min="10770" max="11009"/>
    <col width="10.28515625" customWidth="1" style="6" min="11010" max="11011"/>
    <col width="9.140625" customWidth="1" style="6" min="11012" max="11016"/>
    <col width="4.140625" customWidth="1" style="6" min="11017" max="11025"/>
    <col width="9.140625" customWidth="1" style="6" min="11026" max="11265"/>
    <col width="10.28515625" customWidth="1" style="6" min="11266" max="11267"/>
    <col width="9.140625" customWidth="1" style="6" min="11268" max="11272"/>
    <col width="4.140625" customWidth="1" style="6" min="11273" max="11281"/>
    <col width="9.140625" customWidth="1" style="6" min="11282" max="11521"/>
    <col width="10.28515625" customWidth="1" style="6" min="11522" max="11523"/>
    <col width="9.140625" customWidth="1" style="6" min="11524" max="11528"/>
    <col width="4.140625" customWidth="1" style="6" min="11529" max="11537"/>
    <col width="9.140625" customWidth="1" style="6" min="11538" max="11777"/>
    <col width="10.28515625" customWidth="1" style="6" min="11778" max="11779"/>
    <col width="9.140625" customWidth="1" style="6" min="11780" max="11784"/>
    <col width="4.140625" customWidth="1" style="6" min="11785" max="11793"/>
    <col width="9.140625" customWidth="1" style="6" min="11794" max="12033"/>
    <col width="10.28515625" customWidth="1" style="6" min="12034" max="12035"/>
    <col width="9.140625" customWidth="1" style="6" min="12036" max="12040"/>
    <col width="4.140625" customWidth="1" style="6" min="12041" max="12049"/>
    <col width="9.140625" customWidth="1" style="6" min="12050" max="12289"/>
    <col width="10.28515625" customWidth="1" style="6" min="12290" max="12291"/>
    <col width="9.140625" customWidth="1" style="6" min="12292" max="12296"/>
    <col width="4.140625" customWidth="1" style="6" min="12297" max="12305"/>
    <col width="9.140625" customWidth="1" style="6" min="12306" max="12545"/>
    <col width="10.28515625" customWidth="1" style="6" min="12546" max="12547"/>
    <col width="9.140625" customWidth="1" style="6" min="12548" max="12552"/>
    <col width="4.140625" customWidth="1" style="6" min="12553" max="12561"/>
    <col width="9.140625" customWidth="1" style="6" min="12562" max="12801"/>
    <col width="10.28515625" customWidth="1" style="6" min="12802" max="12803"/>
    <col width="9.140625" customWidth="1" style="6" min="12804" max="12808"/>
    <col width="4.140625" customWidth="1" style="6" min="12809" max="12817"/>
    <col width="9.140625" customWidth="1" style="6" min="12818" max="13057"/>
    <col width="10.28515625" customWidth="1" style="6" min="13058" max="13059"/>
    <col width="9.140625" customWidth="1" style="6" min="13060" max="13064"/>
    <col width="4.140625" customWidth="1" style="6" min="13065" max="13073"/>
    <col width="9.140625" customWidth="1" style="6" min="13074" max="13313"/>
    <col width="10.28515625" customWidth="1" style="6" min="13314" max="13315"/>
    <col width="9.140625" customWidth="1" style="6" min="13316" max="13320"/>
    <col width="4.140625" customWidth="1" style="6" min="13321" max="13329"/>
    <col width="9.140625" customWidth="1" style="6" min="13330" max="13569"/>
    <col width="10.28515625" customWidth="1" style="6" min="13570" max="13571"/>
    <col width="9.140625" customWidth="1" style="6" min="13572" max="13576"/>
    <col width="4.140625" customWidth="1" style="6" min="13577" max="13585"/>
    <col width="9.140625" customWidth="1" style="6" min="13586" max="13825"/>
    <col width="10.28515625" customWidth="1" style="6" min="13826" max="13827"/>
    <col width="9.140625" customWidth="1" style="6" min="13828" max="13832"/>
    <col width="4.140625" customWidth="1" style="6" min="13833" max="13841"/>
    <col width="9.140625" customWidth="1" style="6" min="13842" max="14081"/>
    <col width="10.28515625" customWidth="1" style="6" min="14082" max="14083"/>
    <col width="9.140625" customWidth="1" style="6" min="14084" max="14088"/>
    <col width="4.140625" customWidth="1" style="6" min="14089" max="14097"/>
    <col width="9.140625" customWidth="1" style="6" min="14098" max="14337"/>
    <col width="10.28515625" customWidth="1" style="6" min="14338" max="14339"/>
    <col width="9.140625" customWidth="1" style="6" min="14340" max="14344"/>
    <col width="4.140625" customWidth="1" style="6" min="14345" max="14353"/>
    <col width="9.140625" customWidth="1" style="6" min="14354" max="14593"/>
    <col width="10.28515625" customWidth="1" style="6" min="14594" max="14595"/>
    <col width="9.140625" customWidth="1" style="6" min="14596" max="14600"/>
    <col width="4.140625" customWidth="1" style="6" min="14601" max="14609"/>
    <col width="9.140625" customWidth="1" style="6" min="14610" max="14849"/>
    <col width="10.28515625" customWidth="1" style="6" min="14850" max="14851"/>
    <col width="9.140625" customWidth="1" style="6" min="14852" max="14856"/>
    <col width="4.140625" customWidth="1" style="6" min="14857" max="14865"/>
    <col width="9.140625" customWidth="1" style="6" min="14866" max="15105"/>
    <col width="10.28515625" customWidth="1" style="6" min="15106" max="15107"/>
    <col width="9.140625" customWidth="1" style="6" min="15108" max="15112"/>
    <col width="4.140625" customWidth="1" style="6" min="15113" max="15121"/>
    <col width="9.140625" customWidth="1" style="6" min="15122" max="15361"/>
    <col width="10.28515625" customWidth="1" style="6" min="15362" max="15363"/>
    <col width="9.140625" customWidth="1" style="6" min="15364" max="15368"/>
    <col width="4.140625" customWidth="1" style="6" min="15369" max="15377"/>
    <col width="9.140625" customWidth="1" style="6" min="15378" max="15617"/>
    <col width="10.28515625" customWidth="1" style="6" min="15618" max="15619"/>
    <col width="9.140625" customWidth="1" style="6" min="15620" max="15624"/>
    <col width="4.140625" customWidth="1" style="6" min="15625" max="15633"/>
    <col width="9.140625" customWidth="1" style="6" min="15634" max="15873"/>
    <col width="10.28515625" customWidth="1" style="6" min="15874" max="15875"/>
    <col width="9.140625" customWidth="1" style="6" min="15876" max="15880"/>
    <col width="4.140625" customWidth="1" style="6" min="15881" max="15889"/>
    <col width="9.140625" customWidth="1" style="6" min="15890" max="16129"/>
    <col width="10.28515625" customWidth="1" style="6" min="16130" max="16131"/>
    <col width="9.140625" customWidth="1" style="6" min="16132" max="16136"/>
    <col width="4.140625" customWidth="1" style="6" min="16137" max="16145"/>
    <col width="9.140625" customWidth="1" style="6" min="16146" max="16384"/>
  </cols>
  <sheetData>
    <row r="2" ht="15" customHeight="1">
      <c r="B2" s="13" t="e">
        <v>#VALUE!</v>
      </c>
      <c r="C2" s="44" t="n"/>
      <c r="D2" s="17" t="inlineStr">
        <is>
          <t xml:space="preserve">TÜRKİYE PETROLLERİ A.O.     </t>
        </is>
      </c>
      <c r="E2" s="45" t="n"/>
      <c r="F2" s="45" t="n"/>
      <c r="G2" s="44" t="n"/>
      <c r="H2" s="19" t="inlineStr">
        <is>
          <t>İŞ NO : 1-KEY-199</t>
        </is>
      </c>
      <c r="I2" s="45" t="n"/>
      <c r="J2" s="45" t="n"/>
      <c r="K2" s="45" t="n"/>
      <c r="L2" s="44" t="n"/>
      <c r="M2" s="20" t="inlineStr">
        <is>
          <t xml:space="preserve">UNİTE :   -   </t>
        </is>
      </c>
      <c r="N2" s="45" t="n"/>
      <c r="O2" s="45" t="n"/>
      <c r="P2" s="45" t="n"/>
      <c r="Q2" s="44" t="n"/>
      <c r="R2" s="5" t="n"/>
    </row>
    <row r="3">
      <c r="B3" s="46" t="n"/>
      <c r="C3" s="47" t="n"/>
      <c r="D3" s="46" t="n"/>
      <c r="G3" s="47" t="n"/>
      <c r="H3" s="46" t="n"/>
      <c r="L3" s="47" t="n"/>
      <c r="M3" s="46" t="n"/>
      <c r="Q3" s="47" t="n"/>
      <c r="R3" s="5" t="n"/>
    </row>
    <row r="4">
      <c r="B4" s="46" t="n"/>
      <c r="C4" s="47" t="n"/>
      <c r="D4" s="48" t="n"/>
      <c r="E4" s="49" t="n"/>
      <c r="F4" s="49" t="n"/>
      <c r="G4" s="50" t="n"/>
      <c r="H4" s="48" t="n"/>
      <c r="I4" s="49" t="n"/>
      <c r="J4" s="49" t="n"/>
      <c r="K4" s="49" t="n"/>
      <c r="L4" s="50" t="n"/>
      <c r="M4" s="48" t="n"/>
      <c r="N4" s="49" t="n"/>
      <c r="O4" s="49" t="n"/>
      <c r="P4" s="49" t="n"/>
      <c r="Q4" s="50" t="n"/>
      <c r="R4" s="5" t="n"/>
    </row>
    <row r="5" ht="15" customHeight="1">
      <c r="B5" s="46" t="n"/>
      <c r="C5" s="47" t="n"/>
      <c r="D5" s="51" t="inlineStr">
        <is>
          <t>MEHMET İRFAN GÜLER PETROL ÜRETİM İSTASYONU DETAY MÜHENDİSLİK İŞİ</t>
        </is>
      </c>
      <c r="E5" s="45" t="n"/>
      <c r="F5" s="45" t="n"/>
      <c r="G5" s="52" t="n"/>
      <c r="H5" s="53" t="inlineStr">
        <is>
          <t>DOC. NO.:              KEY199-MEC-DAT-0005</t>
        </is>
      </c>
      <c r="I5" s="45" t="n"/>
      <c r="J5" s="45" t="n"/>
      <c r="K5" s="45" t="n"/>
      <c r="L5" s="45" t="n"/>
      <c r="M5" s="45" t="n"/>
      <c r="N5" s="45" t="n"/>
      <c r="O5" s="52" t="n"/>
      <c r="P5" s="19" t="inlineStr">
        <is>
          <t>Sayfa
1of2</t>
        </is>
      </c>
      <c r="Q5" s="44" t="n"/>
    </row>
    <row r="6" ht="15" customHeight="1">
      <c r="B6" s="46" t="n"/>
      <c r="C6" s="47" t="n"/>
      <c r="D6" s="46" t="n"/>
      <c r="G6" s="54" t="n"/>
      <c r="H6" s="55" t="n"/>
      <c r="I6" s="56" t="n"/>
      <c r="J6" s="56" t="n"/>
      <c r="K6" s="56" t="n"/>
      <c r="L6" s="56" t="n"/>
      <c r="M6" s="56" t="n"/>
      <c r="N6" s="56" t="n"/>
      <c r="O6" s="57" t="n"/>
      <c r="P6" s="48" t="n"/>
      <c r="Q6" s="50" t="n"/>
    </row>
    <row r="7">
      <c r="B7" s="48" t="n"/>
      <c r="C7" s="50" t="n"/>
      <c r="D7" s="55" t="n"/>
      <c r="E7" s="56" t="n"/>
      <c r="F7" s="56" t="n"/>
      <c r="G7" s="57" t="n"/>
      <c r="H7" s="7" t="inlineStr">
        <is>
          <t>REV</t>
        </is>
      </c>
      <c r="I7" s="36" t="inlineStr">
        <is>
          <t>AA</t>
        </is>
      </c>
      <c r="J7" s="36" t="n"/>
      <c r="K7" s="36" t="n"/>
      <c r="L7" s="36" t="n"/>
      <c r="M7" s="36" t="n"/>
      <c r="N7" s="36" t="n"/>
      <c r="O7" s="36" t="n"/>
      <c r="P7" s="36" t="n"/>
      <c r="Q7" s="11" t="n"/>
    </row>
    <row r="8">
      <c r="B8" s="8" t="n"/>
      <c r="Q8" s="9" t="n"/>
    </row>
    <row r="9">
      <c r="B9" s="8" t="n"/>
      <c r="Q9" s="9" t="n"/>
    </row>
    <row r="10">
      <c r="B10" s="8" t="n"/>
      <c r="Q10" s="9" t="n"/>
    </row>
    <row r="11">
      <c r="B11" s="8" t="n"/>
      <c r="Q11" s="9" t="n"/>
    </row>
    <row r="12">
      <c r="B12" s="8" t="n"/>
      <c r="Q12" s="9" t="n"/>
    </row>
    <row r="13">
      <c r="B13" s="8" t="n"/>
      <c r="Q13" s="9" t="n"/>
    </row>
    <row r="14">
      <c r="B14" s="8" t="n"/>
      <c r="Q14" s="9" t="n"/>
    </row>
    <row r="15">
      <c r="B15" s="8" t="n"/>
      <c r="Q15" s="9" t="n"/>
    </row>
    <row r="16">
      <c r="B16" s="8" t="n"/>
      <c r="Q16" s="9" t="n"/>
    </row>
    <row r="17">
      <c r="B17" s="8" t="n"/>
      <c r="Q17" s="9" t="n"/>
    </row>
    <row r="18">
      <c r="B18" s="8" t="n"/>
      <c r="Q18" s="9" t="n"/>
    </row>
    <row r="19">
      <c r="B19" s="8" t="n"/>
      <c r="Q19" s="9" t="n"/>
    </row>
    <row r="20">
      <c r="B20" s="8" t="n"/>
      <c r="Q20" s="9" t="n"/>
    </row>
    <row r="21" ht="11.25" customHeight="1">
      <c r="B21" s="58" t="inlineStr">
        <is>
          <t>TAŞIRMA TANKI VERİ SAYFASI</t>
        </is>
      </c>
      <c r="Q21" s="54" t="n"/>
    </row>
    <row r="22" ht="11.25" customHeight="1">
      <c r="B22" s="59" t="n"/>
      <c r="Q22" s="54" t="n"/>
    </row>
    <row r="23">
      <c r="B23" s="59" t="n"/>
      <c r="Q23" s="54" t="n"/>
    </row>
    <row r="24">
      <c r="B24" s="8" t="n"/>
      <c r="Q24" s="9" t="n"/>
    </row>
    <row r="25">
      <c r="B25" s="8" t="n"/>
      <c r="Q25" s="9" t="n"/>
    </row>
    <row r="26">
      <c r="B26" s="8" t="n"/>
      <c r="Q26" s="9" t="n"/>
    </row>
    <row r="27">
      <c r="B27" s="8" t="n"/>
      <c r="Q27" s="9" t="n"/>
    </row>
    <row r="28">
      <c r="B28" s="8" t="n"/>
      <c r="Q28" s="9" t="n"/>
    </row>
    <row r="29">
      <c r="B29" s="8" t="n"/>
      <c r="Q29" s="9" t="n"/>
    </row>
    <row r="30">
      <c r="B30" s="8" t="n"/>
      <c r="Q30" s="9" t="n"/>
    </row>
    <row r="31">
      <c r="B31" s="8" t="n"/>
      <c r="Q31" s="9" t="n"/>
    </row>
    <row r="32">
      <c r="B32" s="8" t="n"/>
      <c r="Q32" s="9" t="n"/>
    </row>
    <row r="33">
      <c r="B33" s="8" t="n"/>
      <c r="Q33" s="9" t="n"/>
    </row>
    <row r="34">
      <c r="B34" s="8" t="n"/>
      <c r="Q34" s="9" t="n"/>
    </row>
    <row r="35">
      <c r="B35" s="8" t="n"/>
      <c r="Q35" s="9" t="n"/>
    </row>
    <row r="36">
      <c r="B36" s="8" t="n"/>
      <c r="Q36" s="9" t="n"/>
    </row>
    <row r="37">
      <c r="B37" s="8" t="n"/>
      <c r="Q37" s="9" t="n"/>
    </row>
    <row r="38">
      <c r="B38" s="8" t="n"/>
      <c r="Q38" s="9" t="n"/>
    </row>
    <row r="39">
      <c r="B39" s="8" t="n"/>
      <c r="Q39" s="9" t="n"/>
    </row>
    <row r="40">
      <c r="B40" s="8" t="n"/>
      <c r="Q40" s="9" t="n"/>
    </row>
    <row r="41">
      <c r="B41" s="8" t="n"/>
      <c r="Q41" s="9" t="n"/>
    </row>
    <row r="42">
      <c r="B42" s="8" t="n"/>
      <c r="Q42" s="9" t="n"/>
    </row>
    <row r="43">
      <c r="B43" s="8" t="n"/>
      <c r="Q43" s="9" t="n"/>
    </row>
    <row r="44">
      <c r="B44" s="8" t="n"/>
      <c r="Q44" s="9" t="n"/>
    </row>
    <row r="45">
      <c r="B45" s="8" t="n"/>
      <c r="Q45" s="9" t="n"/>
    </row>
    <row r="46">
      <c r="B46" s="8" t="n"/>
      <c r="Q46" s="9" t="n"/>
    </row>
    <row r="47">
      <c r="B47" s="8" t="n"/>
      <c r="Q47" s="9" t="n"/>
    </row>
    <row r="48">
      <c r="B48" s="8" t="n"/>
      <c r="Q48" s="9" t="n"/>
    </row>
    <row r="49">
      <c r="B49" s="8" t="n"/>
      <c r="Q49" s="9" t="n"/>
    </row>
    <row r="50">
      <c r="B50" s="8" t="n"/>
      <c r="Q50" s="9" t="n"/>
    </row>
    <row r="51">
      <c r="B51" s="8" t="n"/>
      <c r="Q51" s="9" t="n"/>
    </row>
    <row r="52">
      <c r="B52" s="37" t="n"/>
      <c r="C52" s="60" t="n"/>
      <c r="D52" s="38" t="n"/>
      <c r="E52" s="60" t="n"/>
      <c r="F52" s="37" t="n"/>
      <c r="G52" s="61" t="n"/>
      <c r="H52" s="60" t="n"/>
      <c r="I52" s="37" t="n"/>
      <c r="J52" s="61" t="n"/>
      <c r="K52" s="60" t="n"/>
      <c r="L52" s="37" t="n"/>
      <c r="M52" s="61" t="n"/>
      <c r="N52" s="60" t="n"/>
      <c r="O52" s="13" t="n"/>
      <c r="P52" s="61" t="n"/>
      <c r="Q52" s="60" t="n"/>
    </row>
    <row r="53">
      <c r="B53" s="37" t="n"/>
      <c r="C53" s="60" t="n"/>
      <c r="D53" s="38" t="n"/>
      <c r="E53" s="60" t="n"/>
      <c r="F53" s="37" t="n"/>
      <c r="G53" s="61" t="n"/>
      <c r="H53" s="60" t="n"/>
      <c r="I53" s="37" t="n"/>
      <c r="J53" s="61" t="n"/>
      <c r="K53" s="60" t="n"/>
      <c r="L53" s="37" t="n"/>
      <c r="M53" s="61" t="n"/>
      <c r="N53" s="60" t="n"/>
      <c r="O53" s="13" t="n"/>
      <c r="P53" s="61" t="n"/>
      <c r="Q53" s="60" t="n"/>
    </row>
    <row r="54">
      <c r="B54" s="37" t="n"/>
      <c r="C54" s="60" t="n"/>
      <c r="D54" s="38" t="n"/>
      <c r="E54" s="60" t="n"/>
      <c r="F54" s="37" t="n"/>
      <c r="G54" s="61" t="n"/>
      <c r="H54" s="60" t="n"/>
      <c r="I54" s="37" t="n"/>
      <c r="J54" s="61" t="n"/>
      <c r="K54" s="60" t="n"/>
      <c r="L54" s="37" t="n"/>
      <c r="M54" s="61" t="n"/>
      <c r="N54" s="60" t="n"/>
      <c r="O54" s="13" t="n"/>
      <c r="P54" s="61" t="n"/>
      <c r="Q54" s="60" t="n"/>
    </row>
    <row r="55">
      <c r="B55" s="37" t="inlineStr">
        <is>
          <t>AA</t>
        </is>
      </c>
      <c r="C55" s="60" t="n"/>
      <c r="D55" s="40" t="n">
        <v>46090</v>
      </c>
      <c r="E55" s="60" t="n"/>
      <c r="F55" s="37" t="inlineStr">
        <is>
          <t>ONAY İÇİN</t>
        </is>
      </c>
      <c r="G55" s="61" t="n"/>
      <c r="H55" s="60" t="n"/>
      <c r="I55" s="37" t="inlineStr">
        <is>
          <t>T.B</t>
        </is>
      </c>
      <c r="J55" s="61" t="n"/>
      <c r="K55" s="60" t="n"/>
      <c r="L55" s="37" t="inlineStr">
        <is>
          <t>T.K</t>
        </is>
      </c>
      <c r="M55" s="61" t="n"/>
      <c r="N55" s="60" t="n"/>
      <c r="O55" s="37" t="inlineStr">
        <is>
          <t>E.Y</t>
        </is>
      </c>
      <c r="P55" s="61" t="n"/>
      <c r="Q55" s="60" t="n"/>
    </row>
    <row r="56" ht="15.75" customHeight="1">
      <c r="B56" s="39" t="inlineStr">
        <is>
          <t>REV</t>
        </is>
      </c>
      <c r="C56" s="60" t="n"/>
      <c r="D56" s="39" t="inlineStr">
        <is>
          <t>TARİH</t>
        </is>
      </c>
      <c r="E56" s="60" t="n"/>
      <c r="F56" s="39" t="inlineStr">
        <is>
          <t>AÇIKLAMA</t>
        </is>
      </c>
      <c r="G56" s="61" t="n"/>
      <c r="H56" s="60" t="n"/>
      <c r="I56" s="39" t="inlineStr">
        <is>
          <t>YAPAN</t>
        </is>
      </c>
      <c r="J56" s="61" t="n"/>
      <c r="K56" s="60" t="n"/>
      <c r="L56" s="39" t="inlineStr">
        <is>
          <t>KONTROL</t>
        </is>
      </c>
      <c r="M56" s="61" t="n"/>
      <c r="N56" s="60" t="n"/>
      <c r="O56" s="39" t="inlineStr">
        <is>
          <t>ONAY</t>
        </is>
      </c>
      <c r="P56" s="61" t="n"/>
      <c r="Q56" s="60" t="n"/>
    </row>
  </sheetData>
  <mergeCells count="38">
    <mergeCell ref="I54:K54"/>
    <mergeCell ref="B2:C7"/>
    <mergeCell ref="B54:C54"/>
    <mergeCell ref="O54:Q54"/>
    <mergeCell ref="D5:G7"/>
    <mergeCell ref="I53:K53"/>
    <mergeCell ref="I56:K56"/>
    <mergeCell ref="L55:N55"/>
    <mergeCell ref="B56:C56"/>
    <mergeCell ref="B52:C52"/>
    <mergeCell ref="I55:K55"/>
    <mergeCell ref="O55:Q55"/>
    <mergeCell ref="D52:E52"/>
    <mergeCell ref="L54:N54"/>
    <mergeCell ref="I52:K52"/>
    <mergeCell ref="M2:Q4"/>
    <mergeCell ref="O56:Q56"/>
    <mergeCell ref="O52:Q52"/>
    <mergeCell ref="F56:H56"/>
    <mergeCell ref="F52:H52"/>
    <mergeCell ref="P5:Q6"/>
    <mergeCell ref="L56:N56"/>
    <mergeCell ref="B53:C53"/>
    <mergeCell ref="H5:O6"/>
    <mergeCell ref="D53:E53"/>
    <mergeCell ref="L52:N52"/>
    <mergeCell ref="H2:L4"/>
    <mergeCell ref="D56:E56"/>
    <mergeCell ref="F53:H53"/>
    <mergeCell ref="D2:G4"/>
    <mergeCell ref="B21:Q23"/>
    <mergeCell ref="B55:C55"/>
    <mergeCell ref="F54:H54"/>
    <mergeCell ref="O53:Q53"/>
    <mergeCell ref="D55:E55"/>
    <mergeCell ref="L53:N53"/>
    <mergeCell ref="D54:E54"/>
    <mergeCell ref="F55:H55"/>
  </mergeCells>
  <printOptions horizontalCentered="1"/>
  <pageMargins left="0.7874015748031497" right="0.3937007874015748" top="0.7874015748031497" bottom="0.7874015748031497" header="0.3149606299212598" footer="0.3149606299212598"/>
  <pageSetup orientation="portrait" paperSize="9" scale="8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5"/>
  <sheetViews>
    <sheetView view="pageBreakPreview" zoomScaleNormal="85" zoomScaleSheetLayoutView="100" workbookViewId="0">
      <selection activeCell="F9" sqref="F9"/>
    </sheetView>
  </sheetViews>
  <sheetFormatPr baseColWidth="8" defaultRowHeight="15"/>
  <cols>
    <col width="2" customWidth="1" style="1" min="1" max="1"/>
    <col width="10" customWidth="1" style="1" min="2" max="4"/>
    <col width="17" bestFit="1" customWidth="1" style="1" min="5" max="5"/>
    <col width="20.85546875" customWidth="1" style="1" min="6" max="6"/>
    <col width="21.7109375" customWidth="1" style="1" min="7" max="7"/>
    <col width="21.42578125" bestFit="1" customWidth="1" style="1" min="8" max="8"/>
    <col width="20.42578125" customWidth="1" style="1" min="9" max="9"/>
    <col width="9.85546875" bestFit="1" customWidth="1" min="10" max="10"/>
    <col width="19.5703125" bestFit="1" customWidth="1" min="11" max="11"/>
    <col width="13.83203125" customWidth="1" min="71" max="71"/>
    <col width="8.1640625" customWidth="1" min="72" max="72"/>
  </cols>
  <sheetData>
    <row r="1" ht="18" customHeight="1">
      <c r="A1" s="62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  <c r="Z1" s="63" t="n"/>
      <c r="AA1" s="63" t="n"/>
      <c r="AB1" s="63" t="n"/>
      <c r="AC1" s="63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4" t="n"/>
      <c r="AN1" s="65" t="n"/>
    </row>
    <row r="2" ht="18" customHeight="1">
      <c r="A2" s="66" t="n"/>
      <c r="J2" s="3" t="n"/>
      <c r="K2" s="2" t="n"/>
      <c r="AM2" s="67" t="n"/>
      <c r="AN2" s="68" t="n"/>
      <c r="AO2" s="69" t="n"/>
      <c r="AP2" s="69" t="n"/>
      <c r="AQ2" s="69" t="n"/>
      <c r="AR2" s="69" t="n"/>
      <c r="AS2" s="69" t="n"/>
      <c r="AT2" s="69" t="n"/>
      <c r="AU2" s="69" t="n"/>
      <c r="AV2" s="69" t="n"/>
      <c r="AW2" s="69" t="n"/>
      <c r="AX2" s="69" t="n"/>
      <c r="AY2" s="69" t="n"/>
      <c r="AZ2" s="69" t="n"/>
      <c r="BA2" s="69" t="n"/>
      <c r="BB2" s="69" t="n"/>
      <c r="BC2" s="69" t="n"/>
      <c r="BD2" s="69" t="n"/>
      <c r="BE2" s="69" t="n"/>
      <c r="BF2" s="69" t="n"/>
      <c r="BG2" s="69" t="n"/>
      <c r="BH2" s="69" t="n"/>
      <c r="BI2" s="69" t="n"/>
      <c r="BJ2" s="69" t="n"/>
      <c r="BK2" s="69" t="n"/>
      <c r="BL2" s="69" t="n"/>
      <c r="BM2" s="69" t="n"/>
      <c r="BN2" s="69" t="n"/>
      <c r="BO2" s="69" t="n"/>
      <c r="BP2" s="69" t="n"/>
      <c r="BQ2" s="69" t="n"/>
      <c r="BR2" s="69" t="n"/>
      <c r="BS2" s="70" t="n"/>
    </row>
    <row r="3" ht="18" customHeight="1">
      <c r="A3" s="66" t="n"/>
      <c r="J3" s="3" t="n"/>
      <c r="K3" s="2" t="n"/>
      <c r="AM3" s="67" t="n"/>
      <c r="AN3" s="71" t="n"/>
    </row>
    <row r="4" ht="14.1" customHeight="1">
      <c r="A4" s="66" t="n"/>
      <c r="H4" s="72" t="n"/>
      <c r="J4" s="73" t="n"/>
      <c r="K4" s="73" t="n"/>
      <c r="L4" s="73" t="n"/>
      <c r="U4" s="73" t="n"/>
      <c r="AE4" s="74" t="n"/>
      <c r="AM4" s="67" t="n"/>
      <c r="AN4" s="68" t="n"/>
      <c r="AO4" s="69" t="n"/>
      <c r="AP4" s="69" t="n"/>
      <c r="AQ4" s="69" t="n"/>
      <c r="AR4" s="69" t="n"/>
      <c r="AS4" s="69" t="n"/>
      <c r="AT4" s="69" t="n"/>
      <c r="AU4" s="69" t="n"/>
      <c r="AV4" s="69" t="n"/>
      <c r="AW4" s="69" t="n"/>
      <c r="AX4" s="69" t="n"/>
      <c r="AY4" s="69" t="n"/>
      <c r="AZ4" s="69" t="n"/>
      <c r="BA4" s="69" t="n"/>
      <c r="BB4" s="69" t="n"/>
      <c r="BC4" s="69" t="n"/>
      <c r="BD4" s="69" t="n"/>
      <c r="BE4" s="69" t="n"/>
      <c r="BF4" s="69" t="n"/>
      <c r="BG4" s="69" t="n"/>
      <c r="BH4" s="69" t="n"/>
      <c r="BI4" s="69" t="n"/>
      <c r="BJ4" s="69" t="n"/>
      <c r="BK4" s="69" t="n"/>
      <c r="BL4" s="69" t="n"/>
      <c r="BM4" s="69" t="n"/>
      <c r="BN4" s="69" t="n"/>
      <c r="BO4" s="69" t="n"/>
      <c r="BP4" s="69" t="n"/>
      <c r="BQ4" s="69" t="n"/>
      <c r="BR4" s="69" t="n"/>
      <c r="BS4" s="70" t="n"/>
    </row>
    <row r="5" ht="14.1" customHeight="1">
      <c r="A5" s="75" t="inlineStr">
        <is>
          <t xml:space="preserve">
Document No: 24004REN-PRC-DAT-0001_2_UR
</t>
        </is>
      </c>
      <c r="B5" s="76" t="n"/>
      <c r="C5" s="77" t="n"/>
      <c r="D5" s="77" t="n"/>
      <c r="E5" s="77" t="n"/>
      <c r="F5" s="77" t="n"/>
      <c r="G5" s="77" t="n"/>
      <c r="H5" s="77" t="n"/>
      <c r="I5" s="77" t="n"/>
      <c r="J5" s="78" t="n"/>
      <c r="K5" s="78" t="n"/>
      <c r="L5" s="78" t="n"/>
      <c r="M5" s="77" t="n"/>
      <c r="N5" s="77" t="n"/>
      <c r="O5" s="77" t="n"/>
      <c r="P5" s="77" t="n"/>
      <c r="Q5" s="77" t="n"/>
      <c r="R5" s="77" t="n"/>
      <c r="S5" s="77" t="n"/>
      <c r="T5" s="77" t="n"/>
      <c r="U5" s="78" t="n"/>
      <c r="V5" s="77" t="n"/>
      <c r="W5" s="77" t="n"/>
      <c r="X5" s="77" t="n"/>
      <c r="Y5" s="77" t="n"/>
      <c r="Z5" s="77" t="n"/>
      <c r="AA5" s="77" t="n"/>
      <c r="AB5" s="77" t="n"/>
      <c r="AC5" s="77" t="n"/>
      <c r="AD5" s="77" t="n"/>
      <c r="AE5" s="77" t="n"/>
      <c r="AF5" s="77" t="n"/>
      <c r="AG5" s="77" t="n"/>
      <c r="AH5" s="77" t="n"/>
      <c r="AI5" s="77" t="n"/>
      <c r="AJ5" s="77" t="n"/>
      <c r="AK5" s="77" t="n"/>
      <c r="AL5" s="77" t="n"/>
      <c r="AM5" s="79" t="n"/>
      <c r="AN5" s="80" t="n"/>
      <c r="AO5" s="81" t="n"/>
      <c r="AP5" s="81" t="n"/>
      <c r="AQ5" s="81" t="n"/>
      <c r="AR5" s="81" t="n"/>
      <c r="AS5" s="81" t="n"/>
      <c r="AT5" s="81" t="n"/>
      <c r="AU5" s="81" t="n"/>
      <c r="AV5" s="81" t="n"/>
      <c r="AW5" s="81" t="n"/>
      <c r="AX5" s="81" t="n"/>
      <c r="AY5" s="81" t="n"/>
      <c r="AZ5" s="81" t="n"/>
      <c r="BA5" s="81" t="n"/>
      <c r="BB5" s="81" t="n"/>
      <c r="BC5" s="81" t="n"/>
      <c r="BD5" s="81" t="n"/>
      <c r="BE5" s="81" t="n"/>
      <c r="BF5" s="81" t="n"/>
      <c r="BG5" s="81" t="n"/>
      <c r="BH5" s="81" t="n"/>
      <c r="BI5" s="81" t="n"/>
      <c r="BJ5" s="81" t="n"/>
      <c r="BK5" s="81" t="n"/>
      <c r="BL5" s="81" t="n"/>
      <c r="BM5" s="81" t="n"/>
      <c r="BN5" s="81" t="n"/>
      <c r="BO5" s="81" t="n"/>
      <c r="BP5" s="81" t="n"/>
      <c r="BQ5" s="81" t="n"/>
      <c r="BR5" s="81" t="n"/>
      <c r="BS5" s="82" t="n"/>
    </row>
    <row r="6" ht="18" customHeight="1">
      <c r="A6" s="83" t="n"/>
      <c r="B6" s="84" t="inlineStr">
        <is>
          <t>CUSTOMER'S  NAME:</t>
        </is>
      </c>
      <c r="C6" s="84" t="n"/>
      <c r="D6" s="84" t="n"/>
      <c r="E6" s="84" t="n"/>
      <c r="F6" s="84" t="n"/>
      <c r="G6" s="84" t="n"/>
      <c r="H6" s="84" t="n"/>
      <c r="I6" s="84" t="n"/>
      <c r="J6" s="84" t="n"/>
      <c r="K6" s="85" t="n"/>
      <c r="L6" s="86" t="inlineStr">
        <is>
          <t>İGSAS</t>
        </is>
      </c>
      <c r="M6" s="77" t="n"/>
      <c r="N6" s="77" t="n"/>
      <c r="O6" s="77" t="n"/>
      <c r="P6" s="77" t="n"/>
      <c r="Q6" s="77" t="n"/>
      <c r="R6" s="77" t="n"/>
      <c r="S6" s="77" t="n"/>
      <c r="T6" s="77" t="n"/>
      <c r="U6" s="78" t="n"/>
      <c r="V6" s="77" t="n"/>
      <c r="W6" s="77" t="n"/>
      <c r="X6" s="77" t="n"/>
      <c r="Y6" s="77" t="n"/>
      <c r="Z6" s="77" t="n"/>
      <c r="AA6" s="77" t="n"/>
      <c r="AB6" s="87" t="n"/>
      <c r="AC6" s="77" t="n"/>
      <c r="AD6" s="77" t="n"/>
      <c r="AE6" s="77" t="n"/>
      <c r="AF6" s="77" t="n"/>
      <c r="AG6" s="77" t="n"/>
      <c r="AH6" s="77" t="n"/>
      <c r="AI6" s="77" t="n"/>
      <c r="AJ6" s="77" t="n"/>
      <c r="AK6" s="77" t="n"/>
      <c r="AL6" s="77" t="n"/>
      <c r="AM6" s="79" t="n"/>
      <c r="AN6" s="77" t="n"/>
      <c r="AO6" s="84" t="inlineStr">
        <is>
          <t>PROJECT No.:</t>
        </is>
      </c>
      <c r="AP6" s="77" t="n"/>
      <c r="AQ6" s="77" t="n"/>
      <c r="AR6" s="77" t="n"/>
      <c r="AS6" s="77" t="n"/>
      <c r="AT6" s="77" t="n"/>
      <c r="AU6" s="77" t="n"/>
      <c r="AV6" s="85" t="inlineStr">
        <is>
          <t>24004REN</t>
        </is>
      </c>
      <c r="AW6" s="77" t="n"/>
      <c r="AX6" s="77" t="n"/>
      <c r="AY6" s="77" t="n"/>
      <c r="AZ6" s="77" t="n"/>
      <c r="BA6" s="77" t="n"/>
      <c r="BB6" s="77" t="n"/>
      <c r="BC6" s="77" t="n"/>
      <c r="BD6" s="77" t="n"/>
      <c r="BE6" s="77" t="n"/>
      <c r="BF6" s="77" t="n"/>
      <c r="BG6" s="77" t="n"/>
      <c r="BH6" s="77" t="n"/>
      <c r="BI6" s="77" t="n"/>
      <c r="BJ6" s="77" t="n"/>
      <c r="BK6" s="77" t="n"/>
      <c r="BL6" s="77" t="n"/>
      <c r="BM6" s="77" t="n"/>
      <c r="BN6" s="77" t="n"/>
      <c r="BO6" s="77" t="n"/>
      <c r="BP6" s="77" t="n"/>
      <c r="BQ6" s="77" t="n"/>
      <c r="BR6" s="77" t="n"/>
      <c r="BS6" s="88" t="n"/>
    </row>
    <row r="7" ht="18" customHeight="1">
      <c r="A7" s="83" t="n"/>
      <c r="B7" s="84" t="inlineStr">
        <is>
          <t>LOCATION:</t>
        </is>
      </c>
      <c r="C7" s="84" t="n"/>
      <c r="D7" s="84" t="n"/>
      <c r="E7" s="84" t="n"/>
      <c r="F7" s="84" t="n"/>
      <c r="G7" s="85" t="n"/>
      <c r="H7" s="85" t="n"/>
      <c r="I7" s="85" t="n"/>
      <c r="J7" s="85" t="n"/>
      <c r="K7" s="85" t="n"/>
      <c r="L7" s="86" t="inlineStr">
        <is>
          <t>KÜTAHYA</t>
        </is>
      </c>
      <c r="M7" s="86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9" t="n"/>
      <c r="AN7" s="77" t="n"/>
      <c r="AO7" s="84" t="inlineStr">
        <is>
          <t>UNIT No.:</t>
        </is>
      </c>
      <c r="AP7" s="77" t="n"/>
      <c r="AQ7" s="77" t="n"/>
      <c r="AR7" s="77" t="n"/>
      <c r="AS7" s="77" t="n"/>
      <c r="AT7" s="77" t="n"/>
      <c r="AU7" s="77" t="n"/>
      <c r="AV7" s="85" t="inlineStr">
        <is>
          <t>STORAGE AREA</t>
        </is>
      </c>
      <c r="AW7" s="77" t="n"/>
      <c r="AX7" s="77" t="n"/>
      <c r="AY7" s="77" t="n"/>
      <c r="AZ7" s="77" t="n"/>
      <c r="BA7" s="77" t="n"/>
      <c r="BB7" s="77" t="n"/>
      <c r="BC7" s="77" t="n"/>
      <c r="BD7" s="77" t="n"/>
      <c r="BE7" s="77" t="n"/>
      <c r="BF7" s="77" t="n"/>
      <c r="BG7" s="77" t="n"/>
      <c r="BH7" s="77" t="n"/>
      <c r="BI7" s="77" t="n"/>
      <c r="BJ7" s="77" t="n"/>
      <c r="BK7" s="77" t="n"/>
      <c r="BL7" s="77" t="n"/>
      <c r="BM7" s="77" t="n"/>
      <c r="BN7" s="77" t="n"/>
      <c r="BO7" s="77" t="n"/>
      <c r="BP7" s="77" t="n"/>
      <c r="BQ7" s="77" t="n"/>
      <c r="BR7" s="77" t="n"/>
      <c r="BS7" s="88" t="n"/>
    </row>
    <row r="8" ht="18" customHeight="1">
      <c r="A8" s="83" t="n"/>
      <c r="B8" s="84" t="inlineStr">
        <is>
          <t>SERVICE:</t>
        </is>
      </c>
      <c r="C8" s="77" t="n"/>
      <c r="D8" s="77" t="n"/>
      <c r="E8" s="77" t="n"/>
      <c r="F8" s="77" t="n"/>
      <c r="G8" s="86" t="n"/>
      <c r="H8" s="85" t="n"/>
      <c r="I8" s="85" t="n"/>
      <c r="J8" s="85" t="n"/>
      <c r="K8" s="85" t="n"/>
      <c r="L8" s="86" t="inlineStr">
        <is>
          <t>NİTRİC ACİD (%56 )</t>
        </is>
      </c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9" t="n"/>
      <c r="AN8" s="77" t="n"/>
      <c r="AO8" s="84" t="inlineStr">
        <is>
          <t>ITEM No.:</t>
        </is>
      </c>
      <c r="AP8" s="77" t="n"/>
      <c r="AQ8" s="77" t="n"/>
      <c r="AR8" s="77" t="n"/>
      <c r="AS8" s="77" t="n"/>
      <c r="AT8" s="77" t="n"/>
      <c r="AU8" s="89" t="n"/>
      <c r="AV8" s="90" t="inlineStr">
        <is>
          <t>T-05-06</t>
        </is>
      </c>
      <c r="AW8" s="89" t="n"/>
      <c r="AX8" s="89" t="n"/>
      <c r="AY8" s="89" t="n"/>
      <c r="AZ8" s="77" t="n"/>
      <c r="BA8" s="77" t="n"/>
      <c r="BB8" s="77" t="n"/>
      <c r="BC8" s="77" t="n"/>
      <c r="BD8" s="77" t="n"/>
      <c r="BE8" s="77" t="n"/>
      <c r="BF8" s="84" t="inlineStr">
        <is>
          <t>No. REQD:</t>
        </is>
      </c>
      <c r="BG8" s="77" t="n"/>
      <c r="BH8" s="77" t="n"/>
      <c r="BI8" s="77" t="n"/>
      <c r="BJ8" s="77" t="n"/>
      <c r="BK8" s="77" t="n"/>
      <c r="BL8" s="91" t="n">
        <v>2</v>
      </c>
      <c r="BN8" s="77" t="n"/>
      <c r="BO8" s="77" t="n"/>
      <c r="BP8" s="77" t="n"/>
      <c r="BQ8" s="77" t="n"/>
      <c r="BR8" s="77" t="n"/>
      <c r="BS8" s="88" t="n"/>
    </row>
    <row r="9" ht="18" customHeight="1">
      <c r="A9" s="83" t="n"/>
      <c r="B9" s="77" t="n"/>
      <c r="C9" s="77" t="n"/>
      <c r="D9" s="77" t="n"/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7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  <c r="AA9" s="77" t="n"/>
      <c r="AB9" s="77" t="n"/>
      <c r="AC9" s="77" t="n"/>
      <c r="AD9" s="77" t="n"/>
      <c r="AE9" s="77" t="n"/>
      <c r="AF9" s="77" t="n"/>
      <c r="AG9" s="77" t="n"/>
      <c r="AH9" s="77" t="n"/>
      <c r="AI9" s="77" t="n"/>
      <c r="AJ9" s="77" t="n"/>
      <c r="AK9" s="77" t="n"/>
      <c r="AL9" s="77" t="n"/>
      <c r="AM9" s="79" t="n"/>
      <c r="AN9" s="77" t="n"/>
      <c r="AO9" s="84" t="n"/>
      <c r="AP9" s="77" t="n"/>
      <c r="AQ9" s="77" t="n"/>
      <c r="AR9" s="77" t="n"/>
      <c r="AS9" s="77" t="n"/>
      <c r="AT9" s="77" t="n"/>
      <c r="AU9" s="77" t="n"/>
      <c r="AV9" s="86" t="n"/>
      <c r="AW9" s="77" t="n"/>
      <c r="AX9" s="77" t="n"/>
      <c r="AY9" s="77" t="n"/>
      <c r="AZ9" s="77" t="n"/>
      <c r="BA9" s="77" t="n"/>
      <c r="BB9" s="77" t="n"/>
      <c r="BC9" s="77" t="n"/>
      <c r="BD9" s="77" t="n"/>
      <c r="BE9" s="77" t="n"/>
      <c r="BF9" s="77" t="n"/>
      <c r="BG9" s="77" t="n"/>
      <c r="BH9" s="77" t="n"/>
      <c r="BI9" s="77" t="n"/>
      <c r="BJ9" s="77" t="n"/>
      <c r="BK9" s="77" t="n"/>
      <c r="BL9" s="77" t="n"/>
      <c r="BM9" s="77" t="n"/>
      <c r="BN9" s="77" t="n"/>
      <c r="BO9" s="77" t="n"/>
      <c r="BP9" s="77" t="n"/>
      <c r="BQ9" s="77" t="n"/>
      <c r="BR9" s="77" t="n"/>
      <c r="BS9" s="88" t="n"/>
    </row>
    <row r="10" ht="18" customHeight="1">
      <c r="A10" s="83" t="n"/>
      <c r="B10" s="92" t="inlineStr">
        <is>
          <t>CHANGE</t>
        </is>
      </c>
      <c r="C10" s="77" t="n"/>
      <c r="D10" s="77" t="n"/>
      <c r="E10" s="77" t="n"/>
      <c r="F10" s="77" t="n"/>
      <c r="G10" s="79" t="n"/>
      <c r="H10" s="93" t="inlineStr">
        <is>
          <t>REV.1</t>
        </is>
      </c>
      <c r="P10" s="93" t="inlineStr">
        <is>
          <t>REV. 2</t>
        </is>
      </c>
      <c r="X10" s="93" t="inlineStr">
        <is>
          <t>REV. 3</t>
        </is>
      </c>
      <c r="AF10" s="93" t="inlineStr">
        <is>
          <t>REV. 4</t>
        </is>
      </c>
      <c r="AN10" s="94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95" t="n"/>
      <c r="BR10" s="95" t="n"/>
      <c r="BS10" s="96" t="n"/>
    </row>
    <row r="11" ht="18" customHeight="1">
      <c r="A11" s="83" t="n"/>
      <c r="B11" s="92" t="inlineStr">
        <is>
          <t>DATE</t>
        </is>
      </c>
      <c r="C11" s="77" t="n"/>
      <c r="D11" s="77" t="n"/>
      <c r="E11" s="77" t="n"/>
      <c r="F11" s="77" t="n"/>
      <c r="G11" s="79" t="n"/>
      <c r="H11" s="97" t="n">
        <v>45532</v>
      </c>
      <c r="P11" s="97" t="n">
        <v>45548</v>
      </c>
      <c r="X11" s="97" t="n">
        <v>45569</v>
      </c>
      <c r="AF11" s="97" t="n">
        <v>45730</v>
      </c>
      <c r="AR11" s="98" t="n"/>
      <c r="BD11" s="73" t="n"/>
      <c r="BS11" s="99" t="n"/>
    </row>
    <row r="12" ht="18" customHeight="1">
      <c r="A12" s="83" t="n"/>
      <c r="B12" s="92" t="inlineStr">
        <is>
          <t>ORIG. BY</t>
        </is>
      </c>
      <c r="C12" s="77" t="n"/>
      <c r="D12" s="77" t="n"/>
      <c r="E12" s="77" t="n"/>
      <c r="F12" s="77" t="n"/>
      <c r="G12" s="79" t="n"/>
      <c r="H12" s="100" t="inlineStr">
        <is>
          <t>E.Y</t>
        </is>
      </c>
      <c r="P12" s="100" t="inlineStr">
        <is>
          <t>E.Y</t>
        </is>
      </c>
      <c r="X12" s="100" t="inlineStr">
        <is>
          <t>E.Y</t>
        </is>
      </c>
      <c r="AF12" s="100" t="inlineStr">
        <is>
          <t>E.Y</t>
        </is>
      </c>
      <c r="BS12" s="99" t="n"/>
    </row>
    <row r="13" ht="18" customHeight="1">
      <c r="A13" s="83" t="n"/>
      <c r="B13" s="92" t="inlineStr">
        <is>
          <t>APP. BY</t>
        </is>
      </c>
      <c r="C13" s="77" t="n"/>
      <c r="D13" s="77" t="n"/>
      <c r="E13" s="77" t="n"/>
      <c r="F13" s="77" t="n"/>
      <c r="G13" s="79" t="n"/>
      <c r="H13" s="100" t="inlineStr">
        <is>
          <t>K.D</t>
        </is>
      </c>
      <c r="P13" s="100" t="inlineStr">
        <is>
          <t>K.D</t>
        </is>
      </c>
      <c r="X13" s="100" t="inlineStr">
        <is>
          <t>K.D</t>
        </is>
      </c>
      <c r="AF13" s="100" t="inlineStr">
        <is>
          <t>K.D</t>
        </is>
      </c>
      <c r="AN13" s="77" t="n"/>
      <c r="AO13" s="77" t="n"/>
      <c r="AP13" s="77" t="n"/>
      <c r="AQ13" s="77" t="n"/>
      <c r="AR13" s="77" t="n"/>
      <c r="AS13" s="77" t="n"/>
      <c r="AT13" s="77" t="n"/>
      <c r="AU13" s="77" t="n"/>
      <c r="AV13" s="77" t="n"/>
      <c r="AW13" s="77" t="n"/>
      <c r="AX13" s="77" t="n"/>
      <c r="AY13" s="77" t="n"/>
      <c r="AZ13" s="77" t="n"/>
      <c r="BA13" s="77" t="n"/>
      <c r="BB13" s="77" t="n"/>
      <c r="BC13" s="77" t="n"/>
      <c r="BD13" s="77" t="n"/>
      <c r="BE13" s="77" t="n"/>
      <c r="BF13" s="77" t="n"/>
      <c r="BG13" s="77" t="n"/>
      <c r="BH13" s="77" t="n"/>
      <c r="BI13" s="77" t="n"/>
      <c r="BJ13" s="77" t="n"/>
      <c r="BK13" s="77" t="n"/>
      <c r="BL13" s="77" t="n"/>
      <c r="BM13" s="77" t="n"/>
      <c r="BN13" s="77" t="n"/>
      <c r="BO13" s="77" t="n"/>
      <c r="BP13" s="77" t="n"/>
      <c r="BQ13" s="77" t="n"/>
      <c r="BR13" s="77" t="n"/>
      <c r="BS13" s="88" t="n"/>
    </row>
    <row r="14" ht="18" customHeight="1">
      <c r="A14" s="66" t="n"/>
      <c r="BS14" s="99" t="n"/>
    </row>
    <row r="15" ht="18" customHeight="1">
      <c r="A15" s="66" t="n"/>
      <c r="BS15" s="99" t="n"/>
    </row>
    <row r="16" ht="18" customHeight="1">
      <c r="A16" s="66" t="n"/>
      <c r="BS16" s="99" t="n"/>
    </row>
    <row r="17" ht="18" customHeight="1">
      <c r="A17" s="66" t="n"/>
      <c r="AM17" s="101" t="n"/>
      <c r="BA17" s="102" t="n"/>
      <c r="BS17" s="99" t="n"/>
    </row>
    <row r="18" ht="18" customHeight="1">
      <c r="A18" s="66" t="n"/>
      <c r="BA18" s="103" t="n"/>
      <c r="BB18" s="103" t="n"/>
      <c r="BC18" s="103" t="n"/>
      <c r="BD18" s="103" t="n"/>
      <c r="BE18" s="103" t="n"/>
      <c r="BF18" s="103" t="n"/>
      <c r="BG18" s="103" t="n"/>
      <c r="BH18" s="103" t="n"/>
      <c r="BI18" s="103" t="n"/>
      <c r="BJ18" s="103" t="n"/>
      <c r="BK18" s="103" t="n"/>
      <c r="BL18" s="103" t="n"/>
      <c r="BM18" s="103" t="n"/>
      <c r="BN18" s="103" t="n"/>
      <c r="BO18" s="103" t="n"/>
      <c r="BP18" s="103" t="n"/>
      <c r="BQ18" s="103" t="n"/>
      <c r="BR18" s="103" t="n"/>
      <c r="BS18" s="99" t="n"/>
    </row>
    <row r="19" ht="18" customHeight="1">
      <c r="A19" s="66" t="n"/>
      <c r="BS19" s="99" t="n"/>
    </row>
    <row r="20" ht="18" customHeight="1">
      <c r="A20" s="66" t="n"/>
      <c r="BS20" s="99" t="n"/>
    </row>
    <row r="21" ht="18" customHeight="1">
      <c r="A21" s="66" t="n"/>
      <c r="BS21" s="99" t="n"/>
    </row>
    <row r="22" ht="18" customHeight="1">
      <c r="A22" s="66" t="n"/>
      <c r="BS22" s="99" t="n"/>
    </row>
    <row r="23" ht="18" customHeight="1">
      <c r="A23" s="66" t="n"/>
      <c r="BS23" s="99" t="n"/>
    </row>
    <row r="24" ht="18" customHeight="1">
      <c r="A24" s="66" t="n"/>
      <c r="BS24" s="99" t="n"/>
    </row>
    <row r="25" ht="18" customHeight="1">
      <c r="A25" s="66" t="n"/>
      <c r="BS25" s="99" t="n"/>
    </row>
    <row r="26" ht="18" customHeight="1">
      <c r="A26" s="66" t="n"/>
      <c r="AU26" s="104" t="n"/>
      <c r="BS26" s="99" t="n"/>
    </row>
    <row r="27" ht="18" customHeight="1">
      <c r="A27" s="66" t="n"/>
      <c r="BS27" s="99" t="n"/>
    </row>
    <row r="28" ht="18" customHeight="1">
      <c r="A28" s="66" t="n"/>
      <c r="BS28" s="99" t="n"/>
    </row>
    <row r="29" ht="18" customHeight="1">
      <c r="A29" s="66" t="n"/>
      <c r="BD29" s="105" t="n"/>
      <c r="BG29" s="106" t="n"/>
      <c r="BH29" s="106" t="n"/>
      <c r="BI29" s="106" t="n"/>
      <c r="BJ29" s="106" t="n"/>
      <c r="BK29" s="106" t="n"/>
      <c r="BN29" s="106" t="n"/>
      <c r="BO29" s="106" t="n"/>
      <c r="BP29" s="106" t="n"/>
      <c r="BS29" s="99" t="n"/>
    </row>
    <row r="30" ht="18" customHeight="1">
      <c r="A30" s="66" t="n"/>
      <c r="BG30" s="106" t="n"/>
      <c r="BH30" s="106" t="n"/>
      <c r="BI30" s="106" t="n"/>
      <c r="BJ30" s="106" t="n"/>
      <c r="BK30" s="106" t="n"/>
      <c r="BN30" s="106" t="n"/>
      <c r="BO30" s="106" t="n"/>
      <c r="BP30" s="106" t="n"/>
      <c r="BS30" s="99" t="n"/>
    </row>
    <row r="31" ht="18" customHeight="1">
      <c r="A31" s="66" t="n"/>
      <c r="BG31" s="106" t="n"/>
      <c r="BH31" s="106" t="n"/>
      <c r="BI31" s="106" t="n"/>
      <c r="BJ31" s="106" t="n"/>
      <c r="BK31" s="106" t="n"/>
      <c r="BN31" s="106" t="n"/>
      <c r="BO31" s="106" t="n"/>
      <c r="BP31" s="106" t="n"/>
      <c r="BS31" s="99" t="n"/>
    </row>
    <row r="32" ht="18" customHeight="1">
      <c r="A32" s="66" t="n"/>
      <c r="BG32" s="106" t="n"/>
      <c r="BH32" s="106" t="n"/>
      <c r="BI32" s="106" t="n"/>
      <c r="BJ32" s="106" t="n"/>
      <c r="BK32" s="106" t="n"/>
      <c r="BL32" s="106" t="n"/>
      <c r="BM32" s="106" t="n"/>
      <c r="BN32" s="106" t="n"/>
      <c r="BO32" s="106" t="n"/>
      <c r="BP32" s="106" t="n"/>
      <c r="BS32" s="99" t="n"/>
    </row>
    <row r="33" ht="18" customHeight="1">
      <c r="A33" s="66" t="n"/>
      <c r="C33" s="107" t="n"/>
      <c r="BS33" s="99" t="n"/>
    </row>
    <row r="34" ht="18" customHeight="1">
      <c r="A34" s="66" t="n"/>
      <c r="BI34" s="104" t="n"/>
      <c r="BS34" s="99" t="n"/>
    </row>
    <row r="35" ht="18" customHeight="1">
      <c r="A35" s="66" t="n"/>
      <c r="AW35" s="106" t="n"/>
      <c r="AX35" s="106" t="n"/>
      <c r="AY35" s="106" t="n"/>
      <c r="AZ35" s="106" t="n"/>
      <c r="BA35" s="106" t="n"/>
      <c r="BB35" s="106" t="n"/>
      <c r="BE35" s="106" t="n"/>
      <c r="BF35" s="106" t="n"/>
      <c r="BG35" s="106" t="n"/>
      <c r="BS35" s="99" t="n"/>
    </row>
    <row r="36" ht="18" customHeight="1">
      <c r="A36" s="66" t="n"/>
      <c r="AW36" s="106" t="n"/>
      <c r="AX36" s="106" t="n"/>
      <c r="AY36" s="106" t="n"/>
      <c r="AZ36" s="106" t="n"/>
      <c r="BA36" s="106" t="n"/>
      <c r="BB36" s="106" t="n"/>
      <c r="BE36" s="106" t="n"/>
      <c r="BF36" s="106" t="n"/>
      <c r="BG36" s="106" t="n"/>
      <c r="BS36" s="99" t="n"/>
    </row>
    <row r="37" ht="18" customHeight="1">
      <c r="A37" s="66" t="n"/>
      <c r="AW37" s="106" t="n"/>
      <c r="AX37" s="106" t="n"/>
      <c r="AY37" s="106" t="n"/>
      <c r="AZ37" s="106" t="n"/>
      <c r="BA37" s="106" t="n"/>
      <c r="BB37" s="106" t="n"/>
      <c r="BE37" s="106" t="n"/>
      <c r="BF37" s="106" t="n"/>
      <c r="BG37" s="106" t="n"/>
      <c r="BS37" s="99" t="n"/>
    </row>
    <row r="38" ht="18" customHeight="1">
      <c r="A38" s="66" t="n"/>
      <c r="AX38" s="106" t="n"/>
      <c r="AY38" s="106" t="n"/>
      <c r="AZ38" s="106" t="n"/>
      <c r="BA38" s="106" t="n"/>
      <c r="BB38" s="106" t="n"/>
      <c r="BC38" s="106" t="n"/>
      <c r="BD38" s="106" t="n"/>
      <c r="BE38" s="106" t="n"/>
      <c r="BF38" s="106" t="n"/>
      <c r="BG38" s="106" t="n"/>
      <c r="BS38" s="99" t="n"/>
    </row>
    <row r="39" ht="18" customHeight="1">
      <c r="A39" s="66" t="n"/>
      <c r="K39" s="108" t="n"/>
      <c r="BS39" s="99" t="n"/>
    </row>
    <row r="40" ht="18" customHeight="1">
      <c r="A40" s="66" t="n"/>
      <c r="BS40" s="99" t="n"/>
    </row>
    <row r="41" ht="18" customHeight="1">
      <c r="A41" s="66" t="n"/>
      <c r="BS41" s="99" t="n"/>
    </row>
    <row r="42" ht="18" customHeight="1">
      <c r="A42" s="66" t="n"/>
      <c r="BS42" s="99" t="n"/>
    </row>
    <row r="43" ht="18" customHeight="1">
      <c r="A43" s="66" t="n"/>
      <c r="BS43" s="99" t="n"/>
    </row>
    <row r="44" ht="18" customHeight="1">
      <c r="A44" s="66" t="n"/>
      <c r="AA44" s="104" t="n"/>
      <c r="BS44" s="99" t="n"/>
    </row>
    <row r="45" ht="18" customHeight="1">
      <c r="A45" s="66" t="n"/>
      <c r="AA45" s="104" t="n"/>
      <c r="BS45" s="99" t="n"/>
    </row>
    <row r="46" ht="18" customHeight="1">
      <c r="A46" s="66" t="n"/>
      <c r="BS46" s="99" t="n"/>
    </row>
    <row r="47" ht="18" customHeight="1">
      <c r="A47" s="66" t="n"/>
      <c r="BS47" s="99" t="n"/>
    </row>
    <row r="48" ht="18" customHeight="1">
      <c r="A48" s="66" t="n"/>
      <c r="BS48" s="99" t="n"/>
    </row>
    <row r="49" ht="18" customHeight="1">
      <c r="A49" s="66" t="n"/>
      <c r="BS49" s="99" t="n"/>
    </row>
    <row r="50" ht="18" customHeight="1">
      <c r="A50" s="66" t="n"/>
      <c r="BS50" s="99" t="n"/>
    </row>
    <row r="51" ht="18" customHeight="1">
      <c r="A51" s="66" t="n"/>
      <c r="BS51" s="99" t="n"/>
    </row>
    <row r="52" ht="18" customHeight="1">
      <c r="A52" s="66" t="n"/>
      <c r="BS52" s="99" t="n"/>
    </row>
    <row r="53" ht="18" customHeight="1">
      <c r="A53" s="66" t="n"/>
      <c r="BS53" s="99" t="n"/>
    </row>
    <row r="54" ht="18" customHeight="1">
      <c r="A54" s="109" t="n"/>
      <c r="B54" s="110" t="inlineStr">
        <is>
          <t>NOTE 1. ALL DIMENSIONS AND ELEVATIONS ARE IN MILLIMETERS</t>
        </is>
      </c>
      <c r="C54" s="111" t="n"/>
      <c r="D54" s="111" t="n"/>
      <c r="E54" s="111" t="n"/>
      <c r="F54" s="110" t="n"/>
      <c r="G54" s="111" t="n"/>
      <c r="H54" s="111" t="n"/>
      <c r="I54" s="111" t="n"/>
      <c r="J54" s="111" t="n"/>
      <c r="K54" s="111" t="n"/>
      <c r="L54" s="111" t="n"/>
      <c r="M54" s="111" t="n"/>
      <c r="N54" s="111" t="n"/>
      <c r="O54" s="111" t="n"/>
      <c r="P54" s="111" t="n"/>
      <c r="Q54" s="111" t="n"/>
      <c r="R54" s="111" t="n"/>
      <c r="S54" s="111" t="n"/>
      <c r="T54" s="111" t="n"/>
      <c r="U54" s="111" t="n"/>
      <c r="V54" s="111" t="n"/>
      <c r="W54" s="111" t="n"/>
      <c r="X54" s="111" t="n"/>
      <c r="Y54" s="111" t="n"/>
      <c r="Z54" s="111" t="n"/>
      <c r="AA54" s="111" t="n"/>
      <c r="AB54" s="111" t="n"/>
      <c r="AC54" s="111" t="n"/>
      <c r="AD54" s="111" t="n"/>
      <c r="AE54" s="111" t="n"/>
      <c r="AF54" s="111" t="n"/>
      <c r="AG54" s="111" t="n"/>
      <c r="AH54" s="111" t="n"/>
      <c r="AI54" s="111" t="n"/>
      <c r="AJ54" s="111" t="n"/>
      <c r="AK54" s="111" t="n"/>
      <c r="AL54" s="111" t="n"/>
      <c r="AM54" s="111" t="n"/>
      <c r="AN54" s="111" t="n"/>
      <c r="AO54" s="111" t="n"/>
      <c r="AP54" s="111" t="n"/>
      <c r="AQ54" s="111" t="n"/>
      <c r="AR54" s="111" t="n"/>
      <c r="AS54" s="111" t="n"/>
      <c r="AT54" s="111" t="n"/>
      <c r="AU54" s="111" t="n"/>
      <c r="AV54" s="111" t="n"/>
      <c r="AW54" s="111" t="n"/>
      <c r="AX54" s="111" t="n"/>
      <c r="AY54" s="111" t="n"/>
      <c r="AZ54" s="111" t="n"/>
      <c r="BA54" s="111" t="n"/>
      <c r="BB54" s="111" t="n"/>
      <c r="BC54" s="111" t="n"/>
      <c r="BD54" s="111" t="n"/>
      <c r="BE54" s="111" t="n"/>
      <c r="BF54" s="111" t="n"/>
      <c r="BG54" s="111" t="n"/>
      <c r="BH54" s="111" t="n"/>
      <c r="BI54" s="111" t="n"/>
      <c r="BJ54" s="111" t="n"/>
      <c r="BK54" s="111" t="n"/>
      <c r="BL54" s="111" t="n"/>
      <c r="BM54" s="111" t="n"/>
      <c r="BN54" s="111" t="n"/>
      <c r="BO54" s="111" t="n"/>
      <c r="BP54" s="111" t="n"/>
      <c r="BQ54" s="111" t="n"/>
      <c r="BR54" s="111" t="n"/>
      <c r="BS54" s="112" t="n"/>
    </row>
    <row r="55" ht="18" customHeight="1">
      <c r="A55" s="66" t="n"/>
      <c r="B55" s="113" t="inlineStr">
        <is>
          <t>NOTE 2.-DELETED.</t>
        </is>
      </c>
    </row>
    <row r="56" ht="18" customHeight="1">
      <c r="A56" s="66" t="n"/>
      <c r="B56" s="113" t="inlineStr">
        <is>
          <t>NOTE 3.-DELETED.</t>
        </is>
      </c>
    </row>
    <row r="57" ht="18" customHeight="1">
      <c r="A57" s="66" t="n"/>
      <c r="B57" s="113" t="inlineStr">
        <is>
          <t>NOTE 4 : MH2 (MANHOLE) SHALL BE USED FOR EMERGENCY VENTING PURPOSES.MECHANICAL DESIGN SHALL BE ADJUSTED ACCORDINGLY.</t>
        </is>
      </c>
    </row>
    <row r="58" ht="18" customHeight="1">
      <c r="A58" s="66" t="n"/>
      <c r="B58" s="114" t="n"/>
    </row>
    <row r="59" ht="18" customHeight="1">
      <c r="A59" s="66" t="n"/>
      <c r="BS59" s="99" t="n"/>
    </row>
    <row r="60" ht="18" customHeight="1">
      <c r="A60" s="83" t="n"/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BS60" s="99" t="n"/>
    </row>
    <row r="61" ht="21.95" customHeight="1">
      <c r="A61" s="115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16" t="n"/>
      <c r="K61" s="116" t="n"/>
      <c r="L61" s="116" t="n"/>
      <c r="M61" s="116" t="n"/>
      <c r="N61" s="116" t="n"/>
      <c r="O61" s="116" t="n"/>
      <c r="P61" s="116" t="n"/>
      <c r="Q61" s="116" t="n"/>
      <c r="R61" s="116" t="n"/>
      <c r="S61" s="116" t="n"/>
      <c r="T61" s="116" t="n"/>
      <c r="U61" s="116" t="n"/>
      <c r="V61" s="116" t="n"/>
      <c r="W61" s="116" t="n"/>
      <c r="X61" s="116" t="n"/>
      <c r="Y61" s="116" t="n"/>
      <c r="Z61" s="116" t="n"/>
      <c r="AA61" s="116" t="n"/>
      <c r="AB61" s="116" t="n"/>
      <c r="AC61" s="116" t="n"/>
      <c r="AD61" s="116" t="n"/>
      <c r="AE61" s="116" t="n"/>
      <c r="AF61" s="116" t="n"/>
      <c r="AG61" s="116" t="n"/>
      <c r="AH61" s="116" t="n"/>
      <c r="AI61" s="116" t="n"/>
      <c r="AJ61" s="116" t="n"/>
      <c r="AK61" s="116" t="n"/>
      <c r="AL61" s="116" t="n"/>
      <c r="AM61" s="117" t="n"/>
      <c r="AN61" s="118" t="inlineStr">
        <is>
          <t>ITEM No.</t>
        </is>
      </c>
      <c r="AO61" s="119" t="n"/>
      <c r="AP61" s="119" t="n"/>
      <c r="AQ61" s="119" t="n"/>
      <c r="AR61" s="119" t="n"/>
      <c r="AS61" s="119">
        <f>AV8</f>
        <v/>
      </c>
      <c r="AT61" s="119" t="n"/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7" t="n"/>
      <c r="BG61" s="118" t="inlineStr">
        <is>
          <t>SHEET</t>
        </is>
      </c>
      <c r="BH61" s="119" t="n"/>
      <c r="BI61" s="119" t="n"/>
      <c r="BJ61" s="119" t="n"/>
      <c r="BK61" s="119" t="n"/>
      <c r="BL61" s="120" t="inlineStr">
        <is>
          <t>1</t>
        </is>
      </c>
      <c r="BM61" s="119" t="n"/>
      <c r="BN61" s="118" t="inlineStr">
        <is>
          <t>OF</t>
        </is>
      </c>
      <c r="BO61" s="119" t="n"/>
      <c r="BP61" s="121" t="n">
        <v>2</v>
      </c>
      <c r="BR61" s="119" t="n"/>
      <c r="BS61" s="122" t="n"/>
    </row>
    <row r="62" ht="9.949999999999999" customHeight="1">
      <c r="B62" s="104" t="n"/>
      <c r="T62" s="104" t="n"/>
      <c r="AN62" s="104" t="n"/>
      <c r="BA62" s="123" t="n"/>
    </row>
    <row r="63">
      <c r="A63" s="66" t="n"/>
    </row>
    <row r="64"/>
    <row r="65"/>
    <row r="66"/>
    <row r="67"/>
    <row r="68"/>
    <row r="69"/>
    <row r="70"/>
    <row r="71"/>
    <row r="72"/>
    <row r="73"/>
    <row r="74"/>
    <row r="75"/>
  </sheetData>
  <printOptions horizontalCentered="1"/>
  <pageMargins left="0.3937007874015748" right="0.1968503937007874" top="0.1968503937007874" bottom="0.1968503937007874" header="0.3149606299212598" footer="0.3149606299212598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75"/>
  <sheetViews>
    <sheetView tabSelected="1" view="pageBreakPreview" zoomScaleNormal="85" zoomScaleSheetLayoutView="100" workbookViewId="0">
      <selection activeCell="F9" sqref="F9"/>
    </sheetView>
  </sheetViews>
  <sheetFormatPr baseColWidth="8" defaultRowHeight="15"/>
  <cols>
    <col width="2" customWidth="1" style="1" min="1" max="1"/>
    <col width="10" customWidth="1" style="1" min="2" max="4"/>
    <col width="17" bestFit="1" customWidth="1" style="1" min="5" max="5"/>
    <col width="3" customWidth="1" style="1" min="6" max="6"/>
    <col width="2" customWidth="1" style="1" min="7" max="7"/>
    <col width="21.42578125" bestFit="1" customWidth="1" style="1" min="8" max="8"/>
    <col width="20.42578125" customWidth="1" style="1" min="9" max="9"/>
    <col width="9.85546875" bestFit="1" customWidth="1" min="10" max="10"/>
    <col width="19.5703125" bestFit="1" customWidth="1" min="11" max="11"/>
    <col width="4" customWidth="1" min="39" max="39"/>
    <col width="2" customWidth="1" min="40" max="40"/>
    <col width="7.83203125" customWidth="1" min="64" max="64"/>
    <col width="2" customWidth="1" min="65" max="65"/>
    <col width="3.1640625" customWidth="1" min="67" max="67"/>
    <col width="6" customWidth="1" min="68" max="68"/>
    <col width="3.5" customWidth="1" min="69" max="69"/>
    <col width="2" customWidth="1" min="70" max="70"/>
    <col width="3" customWidth="1" min="71" max="71"/>
    <col width="8.1640625" customWidth="1" min="72" max="72"/>
  </cols>
  <sheetData>
    <row r="1" ht="18" customHeight="1">
      <c r="A1" s="62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  <c r="Z1" s="63" t="n"/>
      <c r="AA1" s="63" t="n"/>
      <c r="AB1" s="63" t="n"/>
      <c r="AC1" s="63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4" t="n"/>
      <c r="AN1" s="65" t="n"/>
    </row>
    <row r="2" ht="18" customHeight="1">
      <c r="A2" s="66" t="n"/>
      <c r="J2" s="3" t="n"/>
      <c r="K2" s="2" t="n"/>
      <c r="AM2" s="67" t="n"/>
      <c r="AN2" s="124" t="n"/>
      <c r="AO2" s="125" t="n"/>
      <c r="AP2" s="125" t="n"/>
      <c r="AQ2" s="125" t="n"/>
      <c r="AR2" s="125" t="n"/>
      <c r="AS2" s="125" t="n"/>
      <c r="AT2" s="125" t="n"/>
      <c r="AU2" s="125" t="n"/>
      <c r="AV2" s="125" t="n"/>
      <c r="AW2" s="125" t="n"/>
      <c r="AX2" s="125" t="n"/>
      <c r="AY2" s="125" t="n"/>
      <c r="AZ2" s="125" t="n"/>
      <c r="BA2" s="125" t="n"/>
      <c r="BB2" s="125" t="n"/>
      <c r="BC2" s="125" t="n"/>
      <c r="BD2" s="125" t="n"/>
      <c r="BE2" s="125" t="n"/>
      <c r="BF2" s="125" t="n"/>
      <c r="BG2" s="125" t="n"/>
      <c r="BH2" s="125" t="n"/>
      <c r="BI2" s="125" t="n"/>
      <c r="BJ2" s="125" t="n"/>
      <c r="BK2" s="125" t="n"/>
      <c r="BL2" s="125" t="n"/>
      <c r="BM2" s="125" t="n"/>
      <c r="BN2" s="125" t="n"/>
      <c r="BO2" s="125" t="n"/>
      <c r="BP2" s="125" t="n"/>
      <c r="BQ2" s="125" t="n"/>
      <c r="BR2" s="125" t="n"/>
      <c r="BS2" s="126" t="n"/>
    </row>
    <row r="3" ht="18" customHeight="1">
      <c r="A3" s="66" t="n"/>
      <c r="J3" s="3" t="n"/>
      <c r="K3" s="2" t="n"/>
      <c r="AM3" s="67" t="n"/>
      <c r="AN3" s="71" t="n"/>
    </row>
    <row r="4" ht="14.1" customHeight="1">
      <c r="A4" s="66" t="n"/>
      <c r="H4" s="72" t="n"/>
      <c r="J4" s="73" t="n"/>
      <c r="K4" s="73" t="n"/>
      <c r="L4" s="73" t="n"/>
      <c r="U4" s="73" t="n"/>
      <c r="AE4" s="74" t="n"/>
      <c r="AM4" s="67" t="n"/>
      <c r="AN4" s="124" t="n"/>
      <c r="AO4" s="125" t="n"/>
      <c r="AP4" s="125" t="n"/>
      <c r="AQ4" s="125" t="n"/>
      <c r="AR4" s="125" t="n"/>
      <c r="AS4" s="125" t="n"/>
      <c r="AT4" s="125" t="n"/>
      <c r="AU4" s="125" t="n"/>
      <c r="AV4" s="125" t="n"/>
      <c r="AW4" s="125" t="n"/>
      <c r="AX4" s="125" t="n"/>
      <c r="AY4" s="125" t="n"/>
      <c r="AZ4" s="125" t="n"/>
      <c r="BA4" s="125" t="n"/>
      <c r="BB4" s="125" t="n"/>
      <c r="BC4" s="125" t="n"/>
      <c r="BD4" s="125" t="n"/>
      <c r="BE4" s="125" t="n"/>
      <c r="BF4" s="125" t="n"/>
      <c r="BG4" s="125" t="n"/>
      <c r="BH4" s="125" t="n"/>
      <c r="BI4" s="125" t="n"/>
      <c r="BJ4" s="125" t="n"/>
      <c r="BK4" s="125" t="n"/>
      <c r="BL4" s="125" t="n"/>
      <c r="BM4" s="125" t="n"/>
      <c r="BN4" s="125" t="n"/>
      <c r="BO4" s="125" t="n"/>
      <c r="BP4" s="125" t="n"/>
      <c r="BQ4" s="125" t="n"/>
      <c r="BR4" s="125" t="n"/>
      <c r="BS4" s="126" t="n"/>
    </row>
    <row r="5" ht="14.1" customHeight="1">
      <c r="A5" s="75" t="n"/>
      <c r="B5" s="76" t="n"/>
      <c r="C5" s="77" t="n"/>
      <c r="D5" s="77" t="n"/>
      <c r="E5" s="77" t="n"/>
      <c r="F5" s="77" t="n"/>
      <c r="G5" s="77" t="n"/>
      <c r="H5" s="77" t="n"/>
      <c r="I5" s="77" t="n"/>
      <c r="J5" s="78" t="n"/>
      <c r="K5" s="78" t="n"/>
      <c r="L5" s="78" t="n"/>
      <c r="M5" s="77" t="n"/>
      <c r="N5" s="77" t="n"/>
      <c r="O5" s="77" t="n"/>
      <c r="P5" s="77" t="n"/>
      <c r="Q5" s="77" t="n"/>
      <c r="R5" s="77" t="n"/>
      <c r="S5" s="77" t="n"/>
      <c r="T5" s="77" t="n"/>
      <c r="U5" s="78" t="n"/>
      <c r="V5" s="77" t="n"/>
      <c r="W5" s="77" t="n"/>
      <c r="X5" s="77" t="n"/>
      <c r="Y5" s="77" t="n"/>
      <c r="Z5" s="77" t="n"/>
      <c r="AA5" s="77" t="n"/>
      <c r="AB5" s="77" t="n"/>
      <c r="AC5" s="77" t="n"/>
      <c r="AD5" s="77" t="n"/>
      <c r="AE5" s="77" t="n"/>
      <c r="AF5" s="77" t="n"/>
      <c r="AG5" s="77" t="n"/>
      <c r="AH5" s="77" t="n"/>
      <c r="AI5" s="77" t="n"/>
      <c r="AJ5" s="77" t="n"/>
      <c r="AK5" s="77" t="n"/>
      <c r="AL5" s="77" t="n"/>
      <c r="AM5" s="79" t="n"/>
      <c r="AN5" s="127" t="n"/>
      <c r="AO5" s="128" t="n"/>
      <c r="AP5" s="128" t="n"/>
      <c r="AQ5" s="128" t="n"/>
      <c r="AR5" s="128" t="n"/>
      <c r="AS5" s="128" t="n"/>
      <c r="AT5" s="128" t="n"/>
      <c r="AU5" s="128" t="n"/>
      <c r="AV5" s="128" t="n"/>
      <c r="AW5" s="128" t="n"/>
      <c r="AX5" s="128" t="n"/>
      <c r="AY5" s="128" t="n"/>
      <c r="AZ5" s="128" t="n"/>
      <c r="BA5" s="128" t="n"/>
      <c r="BB5" s="128" t="n"/>
      <c r="BC5" s="128" t="n"/>
      <c r="BD5" s="128" t="n"/>
      <c r="BE5" s="128" t="n"/>
      <c r="BF5" s="128" t="n"/>
      <c r="BG5" s="128" t="n"/>
      <c r="BH5" s="128" t="n"/>
      <c r="BI5" s="128" t="n"/>
      <c r="BJ5" s="128" t="n"/>
      <c r="BK5" s="128" t="n"/>
      <c r="BL5" s="128" t="n"/>
      <c r="BM5" s="128" t="n"/>
      <c r="BN5" s="128" t="n"/>
      <c r="BO5" s="128" t="n"/>
      <c r="BP5" s="128" t="n"/>
      <c r="BQ5" s="128" t="n"/>
      <c r="BR5" s="128" t="n"/>
      <c r="BS5" s="129" t="n"/>
    </row>
    <row r="6" ht="15.95" customHeight="1">
      <c r="A6" s="83" t="n"/>
      <c r="B6" s="84" t="inlineStr">
        <is>
          <t>CUSTOMER'S  NAME:</t>
        </is>
      </c>
      <c r="C6" s="84" t="n"/>
      <c r="D6" s="84" t="n"/>
      <c r="E6" s="84" t="n"/>
      <c r="F6" s="84" t="n"/>
      <c r="G6" s="84" t="n"/>
      <c r="H6" s="84" t="n"/>
      <c r="I6" s="84" t="n"/>
      <c r="J6" s="84" t="n"/>
      <c r="K6" s="77" t="n"/>
      <c r="L6" s="130" t="inlineStr">
        <is>
          <t>İGSAS</t>
        </is>
      </c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77" t="n"/>
      <c r="AD6" s="77" t="n"/>
      <c r="AE6" s="77" t="n"/>
      <c r="AF6" s="77" t="n"/>
      <c r="AG6" s="77" t="n"/>
      <c r="AH6" s="77" t="n"/>
      <c r="AI6" s="77" t="n"/>
      <c r="AJ6" s="77" t="n"/>
      <c r="AK6" s="77" t="n"/>
      <c r="AL6" s="77" t="n"/>
      <c r="AM6" s="79" t="n"/>
      <c r="AN6" s="77" t="n"/>
      <c r="AO6" s="84" t="inlineStr">
        <is>
          <t>PROJECT No.:</t>
        </is>
      </c>
      <c r="AP6" s="77" t="n"/>
      <c r="AQ6" s="77" t="n"/>
      <c r="AR6" s="77" t="n"/>
      <c r="AS6" s="77" t="n"/>
      <c r="AT6" s="77" t="n"/>
      <c r="AU6" s="77" t="n"/>
      <c r="AV6" s="131" t="n"/>
      <c r="AW6" s="131">
        <f>'T-05-06_SH1'!AV6</f>
        <v/>
      </c>
      <c r="AX6" s="77" t="n"/>
      <c r="AY6" s="77" t="n"/>
      <c r="AZ6" s="77" t="n"/>
      <c r="BA6" s="77" t="n"/>
      <c r="BB6" s="77" t="n"/>
      <c r="BC6" s="77" t="n"/>
      <c r="BD6" s="77" t="n"/>
      <c r="BE6" s="77" t="n"/>
      <c r="BF6" s="77" t="n"/>
      <c r="BG6" s="77" t="n"/>
      <c r="BH6" s="77" t="n"/>
      <c r="BI6" s="77" t="n"/>
      <c r="BJ6" s="77" t="n"/>
      <c r="BK6" s="77" t="n"/>
      <c r="BL6" s="77" t="n"/>
      <c r="BM6" s="77" t="n"/>
      <c r="BN6" s="77" t="n"/>
      <c r="BO6" s="77" t="n"/>
      <c r="BP6" s="77" t="n"/>
      <c r="BQ6" s="85" t="n"/>
      <c r="BR6" s="85" t="n"/>
      <c r="BS6" s="132" t="n"/>
    </row>
    <row r="7" ht="15.95" customHeight="1">
      <c r="A7" s="83" t="n"/>
      <c r="B7" s="84" t="inlineStr">
        <is>
          <t>LOCATION:</t>
        </is>
      </c>
      <c r="C7" s="84" t="n"/>
      <c r="D7" s="84" t="n"/>
      <c r="E7" s="84" t="n"/>
      <c r="F7" s="84" t="n"/>
      <c r="G7" s="77" t="n"/>
      <c r="H7" s="77" t="n"/>
      <c r="I7" s="77" t="n"/>
      <c r="J7" s="77" t="n"/>
      <c r="K7" s="77" t="n"/>
      <c r="L7" s="133">
        <f>+'T-05-06_SH1'!L7</f>
        <v/>
      </c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9" t="n"/>
      <c r="AN7" s="77" t="n"/>
      <c r="AO7" s="84" t="inlineStr">
        <is>
          <t>UNIT No.:</t>
        </is>
      </c>
      <c r="AP7" s="77" t="n"/>
      <c r="AQ7" s="77" t="n"/>
      <c r="AR7" s="77" t="n"/>
      <c r="AS7" s="77" t="n"/>
      <c r="AT7" s="77" t="n"/>
      <c r="AU7" s="77" t="n"/>
      <c r="AV7" s="131" t="n"/>
      <c r="AW7" s="77" t="inlineStr">
        <is>
          <t>STORAGE AREA</t>
        </is>
      </c>
      <c r="AX7" s="77" t="n"/>
      <c r="AY7" s="77" t="n"/>
      <c r="AZ7" s="77" t="n"/>
      <c r="BA7" s="77" t="n"/>
      <c r="BB7" s="77" t="n"/>
      <c r="BC7" s="77" t="n"/>
      <c r="BD7" s="77" t="n"/>
      <c r="BE7" s="77" t="n"/>
      <c r="BF7" s="77" t="n"/>
      <c r="BG7" s="77" t="n"/>
      <c r="BH7" s="77" t="n"/>
      <c r="BI7" s="77" t="n"/>
      <c r="BJ7" s="77" t="n"/>
      <c r="BK7" s="77" t="n"/>
      <c r="BL7" s="77" t="n"/>
      <c r="BM7" s="77" t="n"/>
      <c r="BN7" s="77" t="n"/>
      <c r="BO7" s="77" t="n"/>
      <c r="BP7" s="77" t="n"/>
      <c r="BQ7" s="85" t="n"/>
      <c r="BR7" s="85" t="n"/>
      <c r="BS7" s="132" t="n"/>
    </row>
    <row r="8" ht="15.95" customHeight="1">
      <c r="A8" s="134" t="n"/>
      <c r="B8" s="84" t="inlineStr">
        <is>
          <t>SERVICE:</t>
        </is>
      </c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>
        <f>'T-05-06_SH1'!L8</f>
        <v/>
      </c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9" t="n"/>
      <c r="AN8" s="77" t="n"/>
      <c r="AO8" s="84" t="inlineStr">
        <is>
          <t>ITEM No.:</t>
        </is>
      </c>
      <c r="AP8" s="77" t="n"/>
      <c r="AQ8" s="77" t="n"/>
      <c r="AR8" s="77" t="n"/>
      <c r="AS8" s="77" t="n"/>
      <c r="AT8" s="77" t="n"/>
      <c r="AU8" s="77" t="n"/>
      <c r="AV8" s="135" t="n"/>
      <c r="AW8" s="90" t="inlineStr">
        <is>
          <t>T-05-06</t>
        </is>
      </c>
      <c r="AX8" s="89" t="n"/>
      <c r="AY8" s="89" t="n"/>
      <c r="AZ8" s="89" t="n"/>
      <c r="BA8" s="77" t="n"/>
      <c r="BB8" s="77" t="n"/>
      <c r="BC8" s="77" t="n"/>
      <c r="BD8" s="77" t="n"/>
      <c r="BE8" s="77" t="n"/>
      <c r="BF8" s="84" t="inlineStr">
        <is>
          <t>No. REQD:</t>
        </is>
      </c>
      <c r="BG8" s="77" t="n"/>
      <c r="BH8" s="77" t="n"/>
      <c r="BI8" s="77" t="n"/>
      <c r="BJ8" s="77" t="n"/>
      <c r="BK8" s="77" t="n"/>
      <c r="BL8" s="131" t="n">
        <v>2</v>
      </c>
      <c r="BM8" s="131" t="n"/>
      <c r="BN8" s="77" t="n"/>
      <c r="BO8" s="77" t="n"/>
      <c r="BP8" s="77" t="n"/>
      <c r="BQ8" s="85" t="n"/>
      <c r="BR8" s="85" t="n"/>
      <c r="BS8" s="132" t="n"/>
    </row>
    <row r="9" ht="15.95" customHeight="1">
      <c r="A9" s="134" t="n"/>
      <c r="B9" s="92" t="inlineStr">
        <is>
          <t>CHANGE</t>
        </is>
      </c>
      <c r="C9" s="85" t="n"/>
      <c r="D9" s="85" t="n"/>
      <c r="E9" s="85" t="n"/>
      <c r="F9" s="85" t="n"/>
      <c r="G9" s="136" t="n"/>
      <c r="H9" s="93" t="inlineStr">
        <is>
          <t>REV.1</t>
        </is>
      </c>
      <c r="P9" s="93" t="inlineStr">
        <is>
          <t>REV. 2</t>
        </is>
      </c>
      <c r="X9" s="93" t="inlineStr">
        <is>
          <t>REV. 3</t>
        </is>
      </c>
      <c r="AF9" s="93" t="inlineStr">
        <is>
          <t>REV. 4</t>
        </is>
      </c>
      <c r="AN9" s="137" t="n"/>
      <c r="AO9" s="84" t="n"/>
      <c r="AP9" s="138" t="n"/>
      <c r="AQ9" s="138" t="n"/>
      <c r="AR9" s="138" t="n"/>
      <c r="AS9" s="138" t="n"/>
      <c r="AT9" s="138" t="n"/>
      <c r="AU9" s="138" t="n"/>
      <c r="AV9" s="138" t="n"/>
      <c r="AW9" s="138" t="n"/>
      <c r="AX9" s="138" t="n"/>
      <c r="AY9" s="138" t="n"/>
      <c r="AZ9" s="138" t="n"/>
      <c r="BA9" s="138" t="n"/>
      <c r="BB9" s="138" t="n"/>
      <c r="BC9" s="138" t="n"/>
      <c r="BD9" s="138" t="n"/>
      <c r="BE9" s="139" t="n"/>
      <c r="BF9" s="138" t="n"/>
      <c r="BG9" s="138" t="n"/>
      <c r="BH9" s="138" t="n"/>
      <c r="BI9" s="138" t="n"/>
      <c r="BJ9" s="138" t="n"/>
      <c r="BK9" s="138" t="n"/>
      <c r="BL9" s="138" t="n"/>
      <c r="BM9" s="138" t="n"/>
      <c r="BN9" s="138" t="n"/>
      <c r="BO9" s="138" t="n"/>
      <c r="BP9" s="138" t="n"/>
      <c r="BQ9" s="138" t="n"/>
      <c r="BR9" s="138" t="n"/>
      <c r="BS9" s="140" t="n"/>
    </row>
    <row r="10" ht="15.95" customHeight="1">
      <c r="A10" s="134" t="n"/>
      <c r="B10" s="92" t="inlineStr">
        <is>
          <t>DATE</t>
        </is>
      </c>
      <c r="C10" s="85" t="n"/>
      <c r="D10" s="85" t="n"/>
      <c r="E10" s="85" t="n"/>
      <c r="F10" s="85" t="n"/>
      <c r="G10" s="136" t="n"/>
      <c r="H10" s="97" t="n">
        <v>45532</v>
      </c>
      <c r="P10" s="97" t="n">
        <v>45548</v>
      </c>
      <c r="X10" s="97" t="n">
        <v>45569</v>
      </c>
      <c r="AF10" s="97" t="n">
        <v>45730</v>
      </c>
      <c r="AN10" s="141" t="n"/>
      <c r="AO10" s="142" t="n"/>
      <c r="AP10" s="142" t="n"/>
      <c r="AQ10" s="142" t="n"/>
      <c r="AR10" s="142" t="n"/>
      <c r="AS10" s="142" t="n"/>
      <c r="AT10" s="142" t="n"/>
      <c r="AU10" s="142" t="n"/>
      <c r="AV10" s="142" t="n"/>
      <c r="AW10" s="142" t="n"/>
      <c r="AX10" s="142" t="n"/>
      <c r="AY10" s="142" t="n"/>
      <c r="AZ10" s="142" t="n"/>
      <c r="BA10" s="142" t="n"/>
      <c r="BB10" s="142" t="n"/>
      <c r="BC10" s="142" t="n"/>
      <c r="BD10" s="142" t="n"/>
      <c r="BE10" s="142" t="n"/>
      <c r="BF10" s="142" t="n"/>
      <c r="BG10" s="142" t="n"/>
      <c r="BH10" s="142" t="n"/>
      <c r="BI10" s="142" t="n"/>
      <c r="BJ10" s="142" t="n"/>
      <c r="BK10" s="142" t="n"/>
      <c r="BL10" s="142" t="n"/>
      <c r="BM10" s="142" t="n"/>
      <c r="BN10" s="142" t="n"/>
      <c r="BO10" s="142" t="n"/>
      <c r="BP10" s="142" t="n"/>
      <c r="BQ10" s="142" t="n"/>
      <c r="BR10" s="142" t="n"/>
      <c r="BS10" s="143" t="n"/>
    </row>
    <row r="11" ht="15.95" customHeight="1">
      <c r="A11" s="134" t="n"/>
      <c r="B11" s="92" t="inlineStr">
        <is>
          <t>ORIG. BY</t>
        </is>
      </c>
      <c r="C11" s="85" t="n"/>
      <c r="D11" s="85" t="n"/>
      <c r="E11" s="85" t="n"/>
      <c r="F11" s="85" t="n"/>
      <c r="G11" s="136" t="n"/>
      <c r="H11" s="100" t="inlineStr">
        <is>
          <t>E.Y</t>
        </is>
      </c>
      <c r="P11" s="100" t="inlineStr">
        <is>
          <t>E.Y</t>
        </is>
      </c>
      <c r="X11" s="100" t="inlineStr">
        <is>
          <t>E.Y</t>
        </is>
      </c>
      <c r="AF11" s="100" t="inlineStr">
        <is>
          <t>E.Y</t>
        </is>
      </c>
      <c r="AN11" s="141" t="n"/>
      <c r="AO11" s="98">
        <f>'T-05-06_SH1'!AR11</f>
        <v/>
      </c>
      <c r="AP11" s="142" t="n"/>
      <c r="AQ11" s="142" t="n"/>
      <c r="AR11" s="142" t="n"/>
      <c r="AS11" s="142" t="n"/>
      <c r="AT11" s="142" t="n"/>
      <c r="AU11" s="142" t="n"/>
      <c r="AV11" s="142" t="n"/>
      <c r="AW11" s="142" t="n"/>
      <c r="AX11" s="142" t="n"/>
      <c r="AY11" s="142" t="n"/>
      <c r="AZ11" s="142" t="n"/>
      <c r="BA11" s="142" t="n"/>
      <c r="BB11" s="142" t="n"/>
      <c r="BC11" s="142" t="n"/>
      <c r="BD11" s="142" t="n"/>
      <c r="BE11" s="142" t="n"/>
      <c r="BF11" s="142" t="n"/>
      <c r="BG11" s="142" t="n"/>
      <c r="BH11" s="142" t="n"/>
      <c r="BI11" s="142" t="n"/>
      <c r="BJ11" s="142" t="n"/>
      <c r="BK11" s="142" t="n"/>
      <c r="BL11" s="142" t="n"/>
      <c r="BM11" s="142" t="n"/>
      <c r="BN11" s="142" t="n"/>
      <c r="BO11" s="142" t="n"/>
      <c r="BP11" s="142" t="n"/>
      <c r="BQ11" s="142" t="n"/>
      <c r="BR11" s="142" t="n"/>
      <c r="BS11" s="143" t="n"/>
    </row>
    <row r="12" ht="15.95" customHeight="1">
      <c r="A12" s="134" t="n"/>
      <c r="B12" s="92" t="inlineStr">
        <is>
          <t>APP. BY</t>
        </is>
      </c>
      <c r="C12" s="85" t="n"/>
      <c r="D12" s="85" t="n"/>
      <c r="E12" s="85" t="n"/>
      <c r="F12" s="85" t="n"/>
      <c r="G12" s="136" t="n"/>
      <c r="H12" s="100" t="inlineStr">
        <is>
          <t>K.D</t>
        </is>
      </c>
      <c r="P12" s="100" t="inlineStr">
        <is>
          <t>K.D</t>
        </is>
      </c>
      <c r="X12" s="100" t="inlineStr">
        <is>
          <t>K.D</t>
        </is>
      </c>
      <c r="AF12" s="100" t="inlineStr">
        <is>
          <t>K.D</t>
        </is>
      </c>
      <c r="AN12" s="85" t="n"/>
      <c r="AO12" s="85" t="n"/>
      <c r="AP12" s="85" t="n"/>
      <c r="AQ12" s="85" t="n"/>
      <c r="AR12" s="86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  <c r="BC12" s="85" t="n"/>
      <c r="BD12" s="85" t="n"/>
      <c r="BE12" s="85" t="n"/>
      <c r="BF12" s="85" t="n"/>
      <c r="BG12" s="85" t="n"/>
      <c r="BH12" s="85" t="n"/>
      <c r="BI12" s="85" t="n"/>
      <c r="BJ12" s="85" t="n"/>
      <c r="BK12" s="85" t="n"/>
      <c r="BL12" s="85" t="n"/>
      <c r="BM12" s="85" t="n"/>
      <c r="BN12" s="85" t="n"/>
      <c r="BO12" s="85" t="n"/>
      <c r="BP12" s="85" t="n"/>
      <c r="BQ12" s="85" t="n"/>
      <c r="BR12" s="85" t="n"/>
      <c r="BS12" s="132" t="n"/>
    </row>
    <row r="13" ht="15.95" customHeight="1">
      <c r="A13" s="134" t="n"/>
      <c r="B13" s="85" t="n"/>
      <c r="C13" s="85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85" t="n"/>
      <c r="Q13" s="92" t="inlineStr">
        <is>
          <t>NOZZLE CHART</t>
        </is>
      </c>
      <c r="R13" s="85" t="n"/>
      <c r="S13" s="85" t="n"/>
      <c r="T13" s="85" t="n"/>
      <c r="U13" s="85" t="n"/>
      <c r="V13" s="85" t="n"/>
      <c r="W13" s="85" t="n"/>
      <c r="X13" s="85" t="n"/>
      <c r="Y13" s="85" t="n"/>
      <c r="Z13" s="142" t="n"/>
      <c r="AA13" s="142" t="n"/>
      <c r="AB13" s="142" t="n"/>
      <c r="AC13" s="142" t="n"/>
      <c r="AD13" s="142" t="n"/>
      <c r="AE13" s="142" t="n"/>
      <c r="AF13" s="142" t="n"/>
      <c r="AG13" s="142" t="n"/>
      <c r="AH13" s="142" t="n"/>
      <c r="AI13" s="142" t="n"/>
      <c r="AJ13" s="142" t="n"/>
      <c r="AK13" s="85" t="n"/>
      <c r="AL13" s="85" t="n"/>
      <c r="AM13" s="136" t="n"/>
      <c r="AN13" s="144" t="inlineStr">
        <is>
          <t>TANK DATA</t>
        </is>
      </c>
    </row>
    <row r="14" ht="15.95" customHeight="1">
      <c r="A14" s="145" t="n"/>
      <c r="B14" s="146" t="inlineStr">
        <is>
          <t xml:space="preserve">  CONN</t>
        </is>
      </c>
      <c r="C14" s="142" t="n"/>
      <c r="D14" s="142" t="n"/>
      <c r="E14" s="142" t="n"/>
      <c r="F14" s="147" t="n"/>
      <c r="G14" s="142" t="n"/>
      <c r="H14" s="146" t="inlineStr">
        <is>
          <t>SIZE</t>
        </is>
      </c>
      <c r="I14" s="142" t="n"/>
      <c r="J14" s="147" t="n"/>
      <c r="K14" s="148" t="inlineStr">
        <is>
          <t>SERVICE</t>
        </is>
      </c>
      <c r="Z14" s="149" t="inlineStr">
        <is>
          <t>REMARKS</t>
        </is>
      </c>
      <c r="AK14" s="150" t="inlineStr">
        <is>
          <t xml:space="preserve">  No. Reqd</t>
        </is>
      </c>
      <c r="AN14" s="151" t="inlineStr">
        <is>
          <t>Tank Item N°</t>
        </is>
      </c>
      <c r="AV14" s="152">
        <f>AW8</f>
        <v/>
      </c>
      <c r="BE14" s="151" t="inlineStr">
        <is>
          <t>Diameter(Inner)</t>
        </is>
      </c>
      <c r="BL14" s="153" t="n">
        <v>7635</v>
      </c>
      <c r="BM14" s="85" t="inlineStr">
        <is>
          <t>mm</t>
        </is>
      </c>
      <c r="BN14" s="86" t="n"/>
      <c r="BO14" s="139" t="n"/>
      <c r="BP14" s="85" t="n"/>
      <c r="BQ14" s="86" t="n"/>
      <c r="BR14" s="85" t="n"/>
      <c r="BS14" s="132" t="n"/>
    </row>
    <row r="15" ht="15.95" customHeight="1">
      <c r="A15" s="134" t="n"/>
      <c r="B15" s="85" t="n"/>
      <c r="C15" s="86" t="inlineStr">
        <is>
          <t>No.</t>
        </is>
      </c>
      <c r="D15" s="85" t="n"/>
      <c r="E15" s="85" t="n"/>
      <c r="F15" s="136" t="n"/>
      <c r="G15" s="154" t="inlineStr">
        <is>
          <t>[inches]</t>
        </is>
      </c>
      <c r="AN15" s="151" t="inlineStr">
        <is>
          <t>Type of Roof</t>
        </is>
      </c>
      <c r="AV15" s="152" t="inlineStr">
        <is>
          <t>Fixed Roof</t>
        </is>
      </c>
      <c r="BE15" s="151" t="inlineStr">
        <is>
          <t>Height  mm</t>
        </is>
      </c>
      <c r="BL15" s="152" t="n">
        <v>14500</v>
      </c>
      <c r="BM15" s="152" t="inlineStr">
        <is>
          <t xml:space="preserve"> mm</t>
        </is>
      </c>
      <c r="BN15" s="152" t="n"/>
      <c r="BO15" s="139" t="n"/>
      <c r="BP15" s="152" t="n"/>
      <c r="BQ15" s="85" t="n"/>
      <c r="BR15" s="85" t="n"/>
      <c r="BS15" s="132" t="n"/>
    </row>
    <row r="16" ht="15.95" customHeight="1">
      <c r="A16" s="155" t="inlineStr">
        <is>
          <t>N1</t>
        </is>
      </c>
      <c r="G16" s="156" t="inlineStr">
        <is>
          <t>6"</t>
        </is>
      </c>
      <c r="K16" s="157" t="inlineStr">
        <is>
          <t>OUTLET</t>
        </is>
      </c>
      <c r="Z16" s="158" t="inlineStr">
        <is>
          <t>6"-150#, RF</t>
        </is>
      </c>
      <c r="AK16" s="152" t="n">
        <v>1</v>
      </c>
      <c r="AN16" s="151" t="inlineStr">
        <is>
          <t>Mixer</t>
        </is>
      </c>
      <c r="AV16" s="152" t="inlineStr">
        <is>
          <t>N/A</t>
        </is>
      </c>
      <c r="BE16" s="151" t="inlineStr">
        <is>
          <t>Max fill height</t>
        </is>
      </c>
      <c r="BL16" s="152" t="n">
        <v>13700</v>
      </c>
      <c r="BM16" s="85" t="inlineStr">
        <is>
          <t>mm</t>
        </is>
      </c>
      <c r="BN16" s="86" t="n"/>
      <c r="BO16" s="139" t="n"/>
      <c r="BP16" s="85" t="n"/>
      <c r="BQ16" s="85" t="n"/>
      <c r="BR16" s="85" t="n"/>
      <c r="BS16" s="132" t="n"/>
    </row>
    <row r="17" ht="15.95" customHeight="1">
      <c r="A17" s="155" t="inlineStr">
        <is>
          <t>N2</t>
        </is>
      </c>
      <c r="G17" s="156" t="inlineStr">
        <is>
          <t>4"</t>
        </is>
      </c>
      <c r="K17" s="157" t="inlineStr">
        <is>
          <t>INLET (ROOF)</t>
        </is>
      </c>
      <c r="Z17" s="159" t="inlineStr">
        <is>
          <t>4"-150#, RF</t>
        </is>
      </c>
      <c r="AK17" s="152" t="n">
        <v>1</v>
      </c>
      <c r="AN17" s="151" t="inlineStr">
        <is>
          <t>Material</t>
        </is>
      </c>
      <c r="AV17" s="152" t="inlineStr">
        <is>
          <t>SS304L</t>
        </is>
      </c>
      <c r="BE17" s="151" t="inlineStr">
        <is>
          <t>Max fill vol.</t>
        </is>
      </c>
      <c r="BL17" s="152" t="inlineStr">
        <is>
          <t>627</t>
        </is>
      </c>
      <c r="BM17" s="85" t="inlineStr">
        <is>
          <t>m3</t>
        </is>
      </c>
      <c r="BN17" s="86" t="n"/>
      <c r="BO17" s="85" t="n"/>
      <c r="BP17" s="85" t="n"/>
      <c r="BQ17" s="85" t="n"/>
      <c r="BR17" s="85" t="n"/>
      <c r="BS17" s="132" t="n"/>
    </row>
    <row r="18" ht="15.95" customHeight="1">
      <c r="A18" s="155" t="inlineStr">
        <is>
          <t>N3</t>
        </is>
      </c>
      <c r="G18" s="156" t="inlineStr">
        <is>
          <t>4"</t>
        </is>
      </c>
      <c r="K18" s="157" t="inlineStr">
        <is>
          <t>INLET (ROOF)</t>
        </is>
      </c>
      <c r="Z18" s="159" t="inlineStr">
        <is>
          <t>4"-150#, RF</t>
        </is>
      </c>
      <c r="AK18" s="152" t="n">
        <v>1</v>
      </c>
      <c r="AN18" s="151" t="inlineStr">
        <is>
          <t>Corrosion Allow.</t>
        </is>
      </c>
      <c r="AV18" s="152" t="inlineStr">
        <is>
          <t>By Tank Eng.</t>
        </is>
      </c>
      <c r="BE18" s="151" t="inlineStr">
        <is>
          <t>Insulation</t>
        </is>
      </c>
      <c r="BL18" s="139" t="inlineStr">
        <is>
          <t>No</t>
        </is>
      </c>
      <c r="BQ18" s="85" t="n"/>
      <c r="BR18" s="85" t="n"/>
      <c r="BS18" s="132" t="n"/>
    </row>
    <row r="19" ht="15.95" customHeight="1">
      <c r="A19" s="155" t="inlineStr">
        <is>
          <t>N4</t>
        </is>
      </c>
      <c r="G19" s="156" t="inlineStr">
        <is>
          <t>4"</t>
        </is>
      </c>
      <c r="K19" s="157" t="inlineStr">
        <is>
          <t>INLET (ROOF)</t>
        </is>
      </c>
      <c r="Z19" s="159" t="inlineStr">
        <is>
          <t>4"-150#, RF</t>
        </is>
      </c>
      <c r="AK19" s="160" t="n">
        <v>1</v>
      </c>
      <c r="AN19" s="161" t="n"/>
      <c r="AO19" s="86" t="n"/>
      <c r="AP19" s="85" t="n"/>
      <c r="AQ19" s="85" t="n"/>
      <c r="AR19" s="85" t="n"/>
      <c r="AS19" s="85" t="n"/>
      <c r="AT19" s="85" t="n"/>
      <c r="AU19" s="85" t="n"/>
      <c r="AV19" s="138" t="n"/>
      <c r="AW19" s="138" t="n"/>
      <c r="AX19" s="138" t="n"/>
      <c r="AY19" s="138" t="n"/>
      <c r="AZ19" s="138" t="n"/>
      <c r="BA19" s="138" t="n"/>
      <c r="BB19" s="138" t="n"/>
      <c r="BC19" s="138" t="n"/>
      <c r="BD19" s="138" t="n"/>
      <c r="BE19" s="86" t="n"/>
      <c r="BF19" s="85" t="n"/>
      <c r="BG19" s="85" t="n"/>
      <c r="BH19" s="85" t="n"/>
      <c r="BI19" s="85" t="n"/>
      <c r="BJ19" s="85" t="n"/>
      <c r="BK19" s="85" t="n"/>
      <c r="BL19" s="85" t="n"/>
      <c r="BM19" s="86" t="n"/>
      <c r="BN19" s="86" t="n"/>
      <c r="BO19" s="85" t="n"/>
      <c r="BP19" s="85" t="n"/>
      <c r="BQ19" s="85" t="n"/>
      <c r="BR19" s="85" t="n"/>
      <c r="BS19" s="132" t="n"/>
    </row>
    <row r="20" ht="15.95" customHeight="1">
      <c r="A20" s="155" t="inlineStr">
        <is>
          <t>N5</t>
        </is>
      </c>
      <c r="G20" s="156" t="inlineStr">
        <is>
          <t>4"</t>
        </is>
      </c>
      <c r="K20" s="157" t="inlineStr">
        <is>
          <t>INLET (ROOF)</t>
        </is>
      </c>
      <c r="Z20" s="159" t="inlineStr">
        <is>
          <t>4"-150#, RF</t>
        </is>
      </c>
      <c r="AK20" s="160" t="n">
        <v>1</v>
      </c>
      <c r="AN20" s="144" t="inlineStr">
        <is>
          <t>SITE CONDITIONS</t>
        </is>
      </c>
    </row>
    <row r="21" ht="15.95" customHeight="1">
      <c r="A21" s="155" t="inlineStr">
        <is>
          <t>N6</t>
        </is>
      </c>
      <c r="G21" s="156" t="inlineStr">
        <is>
          <t>4"</t>
        </is>
      </c>
      <c r="K21" s="157" t="inlineStr">
        <is>
          <t>DRAIN (SIDE)</t>
        </is>
      </c>
      <c r="Z21" s="159" t="inlineStr">
        <is>
          <t>3"-150#, RF</t>
        </is>
      </c>
      <c r="AK21" s="160" t="n">
        <v>1</v>
      </c>
      <c r="AN21" s="162" t="inlineStr">
        <is>
          <t>Wind Velocity</t>
        </is>
      </c>
      <c r="AW21" s="163" t="inlineStr">
        <is>
          <t>By Tank Eng.</t>
        </is>
      </c>
      <c r="BE21" s="164" t="inlineStr">
        <is>
          <t>Min Temperature °C</t>
        </is>
      </c>
      <c r="BP21" s="165" t="n">
        <v>-27</v>
      </c>
    </row>
    <row r="22" ht="15.95" customHeight="1">
      <c r="A22" s="155" t="inlineStr">
        <is>
          <t>N7</t>
        </is>
      </c>
      <c r="G22" s="156" t="inlineStr">
        <is>
          <t>8"</t>
        </is>
      </c>
      <c r="K22" s="157" t="inlineStr">
        <is>
          <t>OVERFLOW (SIDE)</t>
        </is>
      </c>
      <c r="Z22" s="159" t="inlineStr">
        <is>
          <t>8"-150#,RF</t>
        </is>
      </c>
      <c r="AK22" s="160" t="n">
        <v>1</v>
      </c>
      <c r="AN22" s="162" t="inlineStr">
        <is>
          <t>Snow Load</t>
        </is>
      </c>
      <c r="AW22" s="163" t="inlineStr">
        <is>
          <t>By Tank Eng.</t>
        </is>
      </c>
      <c r="BE22" s="166" t="n"/>
      <c r="BP22" s="165" t="n"/>
    </row>
    <row r="23" ht="15.95" customHeight="1">
      <c r="A23" s="167" t="inlineStr">
        <is>
          <t>N8</t>
        </is>
      </c>
      <c r="G23" s="168" t="inlineStr">
        <is>
          <t>6"</t>
        </is>
      </c>
      <c r="K23" s="169" t="inlineStr">
        <is>
          <t>VENT  (ROOF)</t>
        </is>
      </c>
      <c r="Z23" s="170" t="inlineStr">
        <is>
          <t>6"-150#, RF</t>
        </is>
      </c>
      <c r="AK23" s="152" t="n">
        <v>1</v>
      </c>
      <c r="AN23" s="144" t="inlineStr">
        <is>
          <t>OPERATING DATA</t>
        </is>
      </c>
    </row>
    <row r="24" ht="15.95" customHeight="1">
      <c r="A24" s="167" t="inlineStr">
        <is>
          <t>N9</t>
        </is>
      </c>
      <c r="G24" s="168" t="inlineStr">
        <is>
          <t>6"</t>
        </is>
      </c>
      <c r="K24" s="169" t="inlineStr">
        <is>
          <t>VENT  (ROOF)</t>
        </is>
      </c>
      <c r="Z24" s="170" t="inlineStr">
        <is>
          <t>6"-150#, RF</t>
        </is>
      </c>
      <c r="AK24" s="152" t="n">
        <v>1</v>
      </c>
      <c r="AN24" s="162" t="inlineStr">
        <is>
          <t>Service</t>
        </is>
      </c>
      <c r="AW24" s="163" t="inlineStr">
        <is>
          <t>Nitric Acid</t>
        </is>
      </c>
      <c r="BE24" s="171" t="inlineStr">
        <is>
          <t>Storage Temperature  °C</t>
        </is>
      </c>
      <c r="BP24" s="165" t="inlineStr">
        <is>
          <t>10-65</t>
        </is>
      </c>
    </row>
    <row r="25" ht="15.95" customHeight="1">
      <c r="A25" s="155" t="inlineStr">
        <is>
          <t>N10</t>
        </is>
      </c>
      <c r="G25" s="156" t="inlineStr">
        <is>
          <t>4"</t>
        </is>
      </c>
      <c r="K25" s="157" t="inlineStr">
        <is>
          <t>SPARE (ROOF)</t>
        </is>
      </c>
      <c r="Z25" s="159" t="inlineStr">
        <is>
          <t>4"-150#, RF</t>
        </is>
      </c>
      <c r="AK25" s="160" t="n">
        <v>1</v>
      </c>
      <c r="AN25" s="162" t="inlineStr">
        <is>
          <t xml:space="preserve">Tank Pressure </t>
        </is>
      </c>
      <c r="AW25" s="163" t="inlineStr">
        <is>
          <t>ATM</t>
        </is>
      </c>
      <c r="BE25" s="171" t="inlineStr">
        <is>
          <t>Specific Gravity</t>
        </is>
      </c>
      <c r="BP25" s="172" t="inlineStr">
        <is>
          <t>1,31 @65°C</t>
        </is>
      </c>
    </row>
    <row r="26" ht="15.95" customHeight="1">
      <c r="A26" s="155" t="inlineStr">
        <is>
          <t>N11</t>
        </is>
      </c>
      <c r="G26" s="156" t="inlineStr">
        <is>
          <t>4"</t>
        </is>
      </c>
      <c r="K26" s="157" t="inlineStr">
        <is>
          <t>SPARE (ROOF)</t>
        </is>
      </c>
      <c r="Z26" s="159" t="inlineStr">
        <is>
          <t>4"-150#, RF</t>
        </is>
      </c>
      <c r="AK26" s="160" t="n">
        <v>1</v>
      </c>
      <c r="AN26" s="162" t="inlineStr">
        <is>
          <t>Blanketing</t>
        </is>
      </c>
      <c r="AW26" s="163" t="inlineStr">
        <is>
          <t>No</t>
        </is>
      </c>
      <c r="BE26" s="171" t="inlineStr">
        <is>
          <t xml:space="preserve">Inlet Flow Rate (m3/h)          </t>
        </is>
      </c>
      <c r="BP26" s="165" t="n">
        <v>55</v>
      </c>
      <c r="CB26" s="173" t="n"/>
    </row>
    <row r="27" ht="15.95" customHeight="1">
      <c r="A27" s="167" t="n"/>
      <c r="G27" s="168" t="n"/>
      <c r="K27" s="169" t="n"/>
      <c r="Z27" s="174" t="n"/>
      <c r="AK27" s="160" t="n"/>
      <c r="AN27" s="162" t="inlineStr">
        <is>
          <t>Heating Coil</t>
        </is>
      </c>
      <c r="AW27" s="163" t="inlineStr">
        <is>
          <t>No</t>
        </is>
      </c>
      <c r="BE27" s="171" t="inlineStr">
        <is>
          <t xml:space="preserve">Outlet Flow Rate (m3/h)      </t>
        </is>
      </c>
      <c r="BP27" s="165" t="n">
        <v>55</v>
      </c>
      <c r="CB27" s="173" t="n"/>
    </row>
    <row r="28" ht="15.95" customHeight="1">
      <c r="A28" s="175" t="inlineStr">
        <is>
          <t>MH1</t>
        </is>
      </c>
      <c r="G28" s="176" t="inlineStr">
        <is>
          <t>24"</t>
        </is>
      </c>
      <c r="K28" s="177" t="inlineStr">
        <is>
          <t>MANHOLE</t>
        </is>
      </c>
      <c r="Z28" s="178" t="inlineStr">
        <is>
          <t>Side Wall</t>
        </is>
      </c>
      <c r="AK28" s="179" t="n">
        <v>1</v>
      </c>
      <c r="AN28" s="162" t="n"/>
      <c r="AW28" s="180" t="n"/>
      <c r="BE28" s="171" t="inlineStr">
        <is>
          <t>Viscosity @ 20 C (mPa.s)</t>
        </is>
      </c>
      <c r="BP28" s="181" t="n">
        <v>2.5</v>
      </c>
      <c r="CB28" s="173" t="n"/>
    </row>
    <row r="29" ht="15.95" customHeight="1">
      <c r="A29" s="175" t="inlineStr">
        <is>
          <t>MH2</t>
        </is>
      </c>
      <c r="G29" s="176" t="inlineStr">
        <is>
          <t>24"</t>
        </is>
      </c>
      <c r="K29" s="177" t="inlineStr">
        <is>
          <t>MANHOLE</t>
        </is>
      </c>
      <c r="Z29" s="178" t="inlineStr">
        <is>
          <t>Roof</t>
        </is>
      </c>
      <c r="AK29" s="179" t="n"/>
      <c r="AN29" s="182" t="inlineStr">
        <is>
          <t>DESIGN DATA</t>
        </is>
      </c>
      <c r="CB29" s="173" t="n"/>
    </row>
    <row r="30" ht="15.95" customHeight="1">
      <c r="A30" s="175" t="n"/>
      <c r="G30" s="176" t="n"/>
      <c r="K30" s="183" t="n"/>
      <c r="Z30" s="178" t="n"/>
      <c r="AK30" s="179" t="n">
        <v>1</v>
      </c>
      <c r="AN30" s="184" t="inlineStr">
        <is>
          <t xml:space="preserve">Code </t>
        </is>
      </c>
      <c r="AX30" s="185" t="inlineStr">
        <is>
          <t>API-650</t>
        </is>
      </c>
      <c r="BE30" s="166" t="inlineStr">
        <is>
          <t>Design Temperature °C</t>
        </is>
      </c>
      <c r="BP30" s="165" t="n">
        <v>65</v>
      </c>
      <c r="CB30" s="173" t="n"/>
    </row>
    <row r="31" ht="15.95" customHeight="1">
      <c r="A31" s="175" t="n"/>
      <c r="G31" s="176" t="n"/>
      <c r="K31" s="183" t="n"/>
      <c r="Z31" s="178" t="n"/>
      <c r="AK31" s="160" t="n"/>
      <c r="AN31" s="137" t="n"/>
      <c r="AO31" s="139" t="n"/>
      <c r="AP31" s="138" t="n"/>
      <c r="AQ31" s="138" t="n"/>
      <c r="AR31" s="138" t="n"/>
      <c r="AS31" s="138" t="n"/>
      <c r="AT31" s="138" t="n"/>
      <c r="AU31" s="138" t="n"/>
      <c r="AV31" s="138" t="n"/>
      <c r="AW31" s="138" t="n"/>
      <c r="AX31" s="138" t="n"/>
      <c r="AY31" s="138" t="n"/>
      <c r="AZ31" s="138" t="n"/>
      <c r="BA31" s="138" t="n"/>
      <c r="BB31" s="138" t="n"/>
      <c r="BC31" s="138" t="n"/>
      <c r="BD31" s="186" t="n"/>
      <c r="BE31" s="166" t="inlineStr">
        <is>
          <t>Design Pressure (mbarg)</t>
        </is>
      </c>
      <c r="BP31" s="165" t="inlineStr">
        <is>
          <t>-5/10</t>
        </is>
      </c>
      <c r="CB31" s="173" t="n"/>
    </row>
    <row r="32" ht="15.95" customHeight="1">
      <c r="A32" s="175" t="n"/>
      <c r="G32" s="176" t="n"/>
      <c r="K32" s="183" t="n"/>
      <c r="Z32" s="178" t="n"/>
      <c r="AK32" s="160" t="n"/>
      <c r="AN32" s="85" t="n"/>
      <c r="AO32" s="86" t="n"/>
      <c r="AP32" s="85" t="n"/>
      <c r="AQ32" s="85" t="n"/>
      <c r="AR32" s="85" t="n"/>
      <c r="AS32" s="85" t="n"/>
      <c r="AT32" s="85" t="n"/>
      <c r="AU32" s="85" t="n"/>
      <c r="AV32" s="85" t="n"/>
      <c r="AW32" s="85" t="n"/>
      <c r="AX32" s="85" t="n"/>
      <c r="AY32" s="85" t="n"/>
      <c r="AZ32" s="85" t="n"/>
      <c r="BA32" s="85" t="n"/>
      <c r="BB32" s="85" t="n"/>
      <c r="BC32" s="85" t="n"/>
      <c r="BD32" s="85" t="n"/>
      <c r="BE32" s="85" t="n"/>
      <c r="BF32" s="85" t="n"/>
      <c r="BG32" s="85" t="n"/>
      <c r="BH32" s="85" t="n"/>
      <c r="BI32" s="85" t="n"/>
      <c r="BJ32" s="85" t="n"/>
      <c r="BK32" s="85" t="n"/>
      <c r="BL32" s="85" t="n"/>
      <c r="BM32" s="85" t="n"/>
      <c r="BN32" s="85" t="n"/>
      <c r="BO32" s="85" t="n"/>
      <c r="BP32" s="85" t="n"/>
      <c r="BQ32" s="85" t="n"/>
      <c r="BR32" s="85" t="n"/>
      <c r="BS32" s="132" t="n"/>
      <c r="CB32" s="173" t="n"/>
    </row>
    <row r="33" ht="15.95" customHeight="1">
      <c r="A33" s="175" t="inlineStr">
        <is>
          <t>CN1</t>
        </is>
      </c>
      <c r="G33" s="176" t="inlineStr">
        <is>
          <t>3"</t>
        </is>
      </c>
      <c r="K33" s="183" t="inlineStr">
        <is>
          <t xml:space="preserve">LT </t>
        </is>
      </c>
      <c r="Z33" s="178" t="inlineStr">
        <is>
          <t>3"-150#,RF</t>
        </is>
      </c>
      <c r="AK33" s="187" t="n">
        <v>1</v>
      </c>
      <c r="AN33" s="144" t="inlineStr">
        <is>
          <t>ACCESSORIES</t>
        </is>
      </c>
      <c r="CB33" s="173" t="n"/>
    </row>
    <row r="34" ht="15.95" customHeight="1">
      <c r="A34" s="175" t="inlineStr">
        <is>
          <t>CN2</t>
        </is>
      </c>
      <c r="G34" s="176" t="inlineStr">
        <is>
          <t>2"</t>
        </is>
      </c>
      <c r="K34" s="183" t="inlineStr">
        <is>
          <t xml:space="preserve">LS </t>
        </is>
      </c>
      <c r="Z34" s="178" t="inlineStr">
        <is>
          <t>2""-150#RF</t>
        </is>
      </c>
      <c r="AK34" s="187" t="n">
        <v>1</v>
      </c>
      <c r="AN34" s="137" t="inlineStr">
        <is>
          <t>External Board Level Indicator</t>
        </is>
      </c>
      <c r="AO34" s="139" t="n"/>
      <c r="AP34" s="138" t="n"/>
      <c r="AQ34" s="138" t="n"/>
      <c r="AR34" s="138" t="n"/>
      <c r="AS34" s="138" t="n"/>
      <c r="AT34" s="138" t="n"/>
      <c r="AU34" s="138" t="n"/>
      <c r="AV34" s="139" t="n"/>
      <c r="AW34" s="138" t="n"/>
      <c r="AX34" s="138" t="n"/>
      <c r="AY34" s="138" t="n"/>
      <c r="AZ34" s="138" t="n"/>
      <c r="BA34" s="138" t="n"/>
      <c r="BB34" s="138" t="n"/>
      <c r="BC34" s="138" t="n"/>
      <c r="BD34" s="138" t="n"/>
      <c r="BE34" s="138" t="n"/>
      <c r="BF34" s="85" t="n"/>
      <c r="BG34" s="137" t="n"/>
      <c r="BH34" s="85" t="inlineStr">
        <is>
          <t>Vents</t>
        </is>
      </c>
      <c r="BI34" s="85" t="n"/>
      <c r="BJ34" s="85" t="n"/>
      <c r="BK34" s="85" t="n"/>
      <c r="BL34" s="188" t="n"/>
      <c r="BP34" s="85" t="n"/>
      <c r="BQ34" s="85" t="n"/>
      <c r="BR34" s="85" t="n"/>
      <c r="BS34" s="132" t="n"/>
    </row>
    <row r="35" ht="15.95" customHeight="1">
      <c r="A35" s="175" t="inlineStr">
        <is>
          <t>CN3</t>
        </is>
      </c>
      <c r="G35" s="176" t="inlineStr">
        <is>
          <t>3"</t>
        </is>
      </c>
      <c r="K35" s="183" t="inlineStr">
        <is>
          <t>SPARE</t>
        </is>
      </c>
      <c r="Z35" s="178" t="inlineStr">
        <is>
          <t>3"-150#,RF</t>
        </is>
      </c>
      <c r="AK35" s="187" t="n">
        <v>1</v>
      </c>
      <c r="AN35" s="161" t="inlineStr">
        <is>
          <t>Stairways, Platforms and Handrails</t>
        </is>
      </c>
      <c r="AO35" s="85" t="n"/>
      <c r="AP35" s="85" t="n"/>
      <c r="AQ35" s="85" t="n"/>
      <c r="AR35" s="85" t="n"/>
      <c r="AS35" s="85" t="n"/>
      <c r="AT35" s="85" t="n"/>
      <c r="AU35" s="85" t="n"/>
      <c r="AV35" s="85" t="n"/>
      <c r="AW35" s="85" t="n"/>
      <c r="AX35" s="85" t="n"/>
      <c r="AY35" s="85" t="n"/>
      <c r="AZ35" s="92" t="n"/>
      <c r="BA35" s="85" t="n"/>
      <c r="BB35" s="85" t="n"/>
      <c r="BC35" s="85" t="n"/>
      <c r="BD35" s="138" t="n"/>
      <c r="BE35" s="85" t="n"/>
      <c r="BF35" s="85" t="n"/>
      <c r="BG35" s="85" t="n"/>
      <c r="BH35" s="85" t="n"/>
      <c r="BI35" s="85" t="n"/>
      <c r="BJ35" s="85" t="n"/>
      <c r="BK35" s="85" t="n"/>
      <c r="BL35" s="85" t="n"/>
      <c r="BM35" s="85" t="n"/>
      <c r="BN35" s="85" t="n"/>
      <c r="BO35" s="85" t="n"/>
      <c r="BP35" s="85" t="n"/>
      <c r="BQ35" s="85" t="n"/>
      <c r="BR35" s="85" t="n"/>
      <c r="BS35" s="132" t="n"/>
    </row>
    <row r="36" ht="15.95" customHeight="1">
      <c r="A36" s="167" t="n"/>
      <c r="G36" s="168" t="n"/>
      <c r="K36" s="189" t="n"/>
      <c r="Z36" s="174" t="n"/>
      <c r="AK36" s="190" t="n"/>
      <c r="AN36" s="85" t="n"/>
      <c r="AO36" s="86" t="n"/>
      <c r="AP36" s="85" t="n"/>
      <c r="AQ36" s="85" t="n"/>
      <c r="AR36" s="85" t="n"/>
      <c r="AS36" s="85" t="n"/>
      <c r="AT36" s="85" t="n"/>
      <c r="AU36" s="85" t="n"/>
      <c r="AV36" s="86" t="n"/>
      <c r="AW36" s="85" t="n"/>
      <c r="AX36" s="85" t="n"/>
      <c r="AY36" s="85" t="n"/>
      <c r="AZ36" s="85" t="n"/>
      <c r="BA36" s="85" t="n"/>
      <c r="BB36" s="85" t="n"/>
      <c r="BC36" s="85" t="n"/>
      <c r="BD36" s="85" t="n"/>
      <c r="BE36" s="85" t="n"/>
      <c r="BF36" s="85" t="n"/>
      <c r="BG36" s="85" t="n"/>
      <c r="BH36" s="85" t="n"/>
      <c r="BI36" s="85" t="n"/>
      <c r="BJ36" s="85" t="n"/>
      <c r="BK36" s="85" t="n"/>
      <c r="BL36" s="85" t="n"/>
      <c r="BM36" s="85" t="n"/>
      <c r="BN36" s="85" t="n"/>
      <c r="BO36" s="85" t="n"/>
      <c r="BP36" s="85" t="n"/>
      <c r="BQ36" s="85" t="n"/>
      <c r="BR36" s="85" t="n"/>
      <c r="BS36" s="132" t="n"/>
    </row>
    <row r="37" ht="15.95" customHeight="1">
      <c r="A37" s="155" t="n"/>
      <c r="G37" s="156" t="n"/>
      <c r="K37" s="157" t="n"/>
      <c r="Z37" s="159" t="n"/>
      <c r="AK37" s="160" t="n"/>
      <c r="AN37" s="85" t="n"/>
      <c r="AO37" s="86" t="n"/>
      <c r="AP37" s="85" t="n"/>
      <c r="AQ37" s="85" t="n"/>
      <c r="AR37" s="85" t="n"/>
      <c r="AS37" s="85" t="n"/>
      <c r="AT37" s="85" t="n"/>
      <c r="AU37" s="85" t="n"/>
      <c r="AV37" s="85" t="n"/>
      <c r="AW37" s="85" t="n"/>
      <c r="AX37" s="85" t="n"/>
      <c r="AY37" s="85" t="n"/>
      <c r="AZ37" s="85" t="n"/>
      <c r="BA37" s="85" t="n"/>
      <c r="BB37" s="85" t="n"/>
      <c r="BC37" s="85" t="n"/>
      <c r="BD37" s="85" t="n"/>
      <c r="BE37" s="85" t="n"/>
      <c r="BF37" s="85" t="n"/>
      <c r="BG37" s="85" t="n"/>
      <c r="BH37" s="85" t="n"/>
      <c r="BI37" s="85" t="n"/>
      <c r="BJ37" s="85" t="n"/>
      <c r="BK37" s="85" t="n"/>
      <c r="BL37" s="85" t="n"/>
      <c r="BM37" s="85" t="n"/>
      <c r="BN37" s="85" t="n"/>
      <c r="BO37" s="85" t="n"/>
      <c r="BP37" s="85" t="n"/>
      <c r="BQ37" s="85" t="n"/>
      <c r="BR37" s="85" t="n"/>
      <c r="BS37" s="132" t="n"/>
    </row>
    <row r="38" ht="15.95" customHeight="1">
      <c r="A38" s="155" t="n"/>
      <c r="G38" s="156" t="n"/>
      <c r="K38" s="157" t="n"/>
      <c r="Z38" s="159" t="n"/>
      <c r="AK38" s="160" t="n"/>
      <c r="AN38" s="85" t="n"/>
      <c r="AO38" s="85" t="n"/>
      <c r="AP38" s="85" t="n"/>
      <c r="AQ38" s="85" t="n"/>
      <c r="AR38" s="85" t="n"/>
      <c r="AS38" s="85" t="n"/>
      <c r="AT38" s="85" t="n"/>
      <c r="AU38" s="85" t="n"/>
      <c r="AV38" s="85" t="n"/>
      <c r="AW38" s="85" t="n"/>
      <c r="AX38" s="85" t="n"/>
      <c r="AY38" s="85" t="n"/>
      <c r="AZ38" s="85" t="n"/>
      <c r="BA38" s="85" t="n"/>
      <c r="BB38" s="85" t="n"/>
      <c r="BC38" s="85" t="n"/>
      <c r="BD38" s="85" t="n"/>
      <c r="BE38" s="85" t="n"/>
      <c r="BF38" s="85" t="n"/>
      <c r="BG38" s="85" t="n"/>
      <c r="BH38" s="85" t="n"/>
      <c r="BI38" s="85" t="n"/>
      <c r="BJ38" s="85" t="n"/>
      <c r="BK38" s="85" t="n"/>
      <c r="BL38" s="85" t="n"/>
      <c r="BM38" s="85" t="n"/>
      <c r="BN38" s="85" t="n"/>
      <c r="BO38" s="85" t="n"/>
      <c r="BP38" s="85" t="n"/>
      <c r="BQ38" s="85" t="n"/>
      <c r="BR38" s="85" t="n"/>
      <c r="BS38" s="132" t="n"/>
    </row>
    <row r="39" ht="15.95" customHeight="1">
      <c r="A39" s="155" t="inlineStr">
        <is>
          <t>N12</t>
        </is>
      </c>
      <c r="G39" s="156" t="inlineStr">
        <is>
          <t>4"</t>
        </is>
      </c>
      <c r="K39" s="157" t="inlineStr">
        <is>
          <t>SPARE (ROOF)</t>
        </is>
      </c>
      <c r="Z39" s="159" t="inlineStr">
        <is>
          <t>4"-150#, RF</t>
        </is>
      </c>
      <c r="AK39" s="160" t="n">
        <v>1</v>
      </c>
      <c r="AN39" s="85" t="n"/>
      <c r="AO39" s="85" t="n"/>
      <c r="AP39" s="85" t="n"/>
      <c r="AQ39" s="85" t="n"/>
      <c r="AR39" s="85" t="n"/>
      <c r="AS39" s="85" t="n"/>
      <c r="AT39" s="85" t="n"/>
      <c r="AU39" s="85" t="n"/>
      <c r="AV39" s="85" t="n"/>
      <c r="AW39" s="85" t="n"/>
      <c r="AX39" s="85" t="n"/>
      <c r="AY39" s="85" t="n"/>
      <c r="AZ39" s="85" t="n"/>
      <c r="BA39" s="85" t="n"/>
      <c r="BB39" s="85" t="n"/>
      <c r="BC39" s="85" t="n"/>
      <c r="BD39" s="85" t="n"/>
      <c r="BE39" s="85" t="n"/>
      <c r="BF39" s="85" t="n"/>
      <c r="BG39" s="85" t="n"/>
      <c r="BH39" s="85" t="n"/>
      <c r="BI39" s="85" t="n"/>
      <c r="BJ39" s="85" t="n"/>
      <c r="BK39" s="85" t="n"/>
      <c r="BL39" s="85" t="n"/>
      <c r="BM39" s="85" t="n"/>
      <c r="BN39" s="85" t="n"/>
      <c r="BO39" s="85" t="n"/>
      <c r="BP39" s="85" t="n"/>
      <c r="BQ39" s="85" t="n"/>
      <c r="BR39" s="85" t="n"/>
      <c r="BS39" s="132" t="n"/>
    </row>
    <row r="40" ht="15.95" customHeight="1">
      <c r="A40" s="155" t="inlineStr">
        <is>
          <t>N13</t>
        </is>
      </c>
      <c r="G40" s="156" t="inlineStr">
        <is>
          <t>4"</t>
        </is>
      </c>
      <c r="K40" s="157" t="inlineStr">
        <is>
          <t>SPARE (ROOF)</t>
        </is>
      </c>
      <c r="Z40" s="159" t="inlineStr">
        <is>
          <t>4"-150#, RF</t>
        </is>
      </c>
      <c r="AK40" s="160" t="n">
        <v>1</v>
      </c>
      <c r="AN40" s="85" t="n"/>
      <c r="AO40" s="86" t="n"/>
      <c r="AP40" s="85" t="n"/>
      <c r="AQ40" s="85" t="n"/>
      <c r="AR40" s="85" t="n"/>
      <c r="AS40" s="85" t="n"/>
      <c r="AT40" s="85" t="n"/>
      <c r="AU40" s="85" t="n"/>
      <c r="AV40" s="85" t="n"/>
      <c r="AW40" s="85" t="n"/>
      <c r="AX40" s="85" t="n"/>
      <c r="AY40" s="85" t="n"/>
      <c r="AZ40" s="85" t="n"/>
      <c r="BA40" s="85" t="n"/>
      <c r="BB40" s="85" t="n"/>
      <c r="BC40" s="85" t="n"/>
      <c r="BD40" s="85" t="n"/>
      <c r="BE40" s="85" t="n"/>
      <c r="BF40" s="85" t="n"/>
      <c r="BG40" s="85" t="n"/>
      <c r="BH40" s="85" t="n"/>
      <c r="BI40" s="85" t="n"/>
      <c r="BJ40" s="85" t="n"/>
      <c r="BK40" s="85" t="n"/>
      <c r="BL40" s="85" t="n"/>
      <c r="BM40" s="85" t="n"/>
      <c r="BN40" s="85" t="n"/>
      <c r="BO40" s="85" t="n"/>
      <c r="BP40" s="85" t="n"/>
      <c r="BQ40" s="85" t="n"/>
      <c r="BR40" s="85" t="n"/>
      <c r="BS40" s="132" t="n"/>
    </row>
    <row r="41" ht="15.95" customHeight="1">
      <c r="A41" s="134" t="n"/>
      <c r="B41" s="85" t="n"/>
      <c r="C41" s="85" t="n"/>
      <c r="D41" s="85" t="n"/>
      <c r="E41" s="85" t="n"/>
      <c r="F41" s="136" t="n"/>
      <c r="G41" s="85" t="n"/>
      <c r="H41" s="85" t="n"/>
      <c r="I41" s="85" t="n"/>
      <c r="J41" s="136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163" t="n"/>
      <c r="AK41" s="85" t="n"/>
      <c r="AL41" s="85" t="n"/>
      <c r="AM41" s="136" t="n"/>
      <c r="AN41" s="85" t="n"/>
      <c r="AO41" s="85" t="n"/>
      <c r="AP41" s="85" t="n"/>
      <c r="AQ41" s="85" t="n"/>
      <c r="AR41" s="85" t="n"/>
      <c r="AS41" s="85" t="n"/>
      <c r="AT41" s="85" t="n"/>
      <c r="AU41" s="85" t="n"/>
      <c r="AV41" s="85" t="n"/>
      <c r="AW41" s="85" t="n"/>
      <c r="AX41" s="85" t="n"/>
      <c r="AY41" s="85" t="n"/>
      <c r="AZ41" s="85" t="n"/>
      <c r="BA41" s="85" t="n"/>
      <c r="BB41" s="85" t="n"/>
      <c r="BC41" s="85" t="n"/>
      <c r="BD41" s="85" t="n"/>
      <c r="BE41" s="85" t="n"/>
      <c r="BF41" s="85" t="n"/>
      <c r="BG41" s="85" t="n"/>
      <c r="BH41" s="85" t="n"/>
      <c r="BI41" s="85" t="n"/>
      <c r="BJ41" s="85" t="n"/>
      <c r="BK41" s="85" t="n"/>
      <c r="BL41" s="85" t="n"/>
      <c r="BM41" s="85" t="n"/>
      <c r="BN41" s="85" t="n"/>
      <c r="BO41" s="85" t="n"/>
      <c r="BP41" s="85" t="n"/>
      <c r="BQ41" s="85" t="n"/>
      <c r="BR41" s="85" t="n"/>
      <c r="BS41" s="132" t="n"/>
    </row>
    <row r="42" ht="15.95" customHeight="1">
      <c r="A42" s="191" t="n"/>
      <c r="G42" s="188" t="n"/>
      <c r="K42" s="192" t="n"/>
      <c r="Z42" s="163" t="n"/>
      <c r="AK42" s="160" t="n"/>
      <c r="AN42" s="85" t="n"/>
      <c r="AO42" s="85" t="n"/>
      <c r="AP42" s="85" t="n"/>
      <c r="AQ42" s="85" t="n"/>
      <c r="AR42" s="85" t="n"/>
      <c r="AS42" s="85" t="n"/>
      <c r="AT42" s="85" t="n"/>
      <c r="AU42" s="85" t="n"/>
      <c r="AV42" s="85" t="n"/>
      <c r="AW42" s="85" t="n"/>
      <c r="AX42" s="85" t="n"/>
      <c r="AY42" s="85" t="n"/>
      <c r="AZ42" s="85" t="n"/>
      <c r="BA42" s="85" t="n"/>
      <c r="BB42" s="85" t="n"/>
      <c r="BC42" s="85" t="n"/>
      <c r="BD42" s="85" t="n"/>
      <c r="BE42" s="85" t="n"/>
      <c r="BF42" s="85" t="n"/>
      <c r="BG42" s="85" t="n"/>
      <c r="BH42" s="85" t="n"/>
      <c r="BI42" s="85" t="n"/>
      <c r="BJ42" s="85" t="n"/>
      <c r="BK42" s="85" t="n"/>
      <c r="BL42" s="85" t="n"/>
      <c r="BM42" s="85" t="n"/>
      <c r="BN42" s="85" t="n"/>
      <c r="BO42" s="85" t="n"/>
      <c r="BP42" s="85" t="n"/>
      <c r="BQ42" s="85" t="n"/>
      <c r="BR42" s="85" t="n"/>
      <c r="BS42" s="132" t="n"/>
    </row>
    <row r="43" ht="15.95" customHeight="1">
      <c r="A43" s="134" t="n"/>
      <c r="B43" s="85" t="n"/>
      <c r="C43" s="85" t="n"/>
      <c r="D43" s="85" t="n"/>
      <c r="E43" s="85" t="n"/>
      <c r="F43" s="136" t="n"/>
      <c r="G43" s="85" t="n"/>
      <c r="H43" s="85" t="n"/>
      <c r="I43" s="85" t="n"/>
      <c r="J43" s="136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163" t="n"/>
      <c r="AK43" s="85" t="n"/>
      <c r="AL43" s="85" t="n"/>
      <c r="AM43" s="136" t="n"/>
      <c r="AN43" s="85" t="n"/>
      <c r="AO43" s="85" t="n"/>
      <c r="AP43" s="85" t="n"/>
      <c r="AQ43" s="85" t="n"/>
      <c r="AR43" s="85" t="n"/>
      <c r="AS43" s="85" t="n"/>
      <c r="AT43" s="85" t="n"/>
      <c r="AU43" s="85" t="n"/>
      <c r="AV43" s="85" t="n"/>
      <c r="AW43" s="85" t="n"/>
      <c r="AX43" s="85" t="n"/>
      <c r="AY43" s="85" t="n"/>
      <c r="AZ43" s="85" t="n"/>
      <c r="BA43" s="85" t="n"/>
      <c r="BB43" s="85" t="n"/>
      <c r="BC43" s="85" t="n"/>
      <c r="BD43" s="85" t="n"/>
      <c r="BE43" s="85" t="n"/>
      <c r="BF43" s="85" t="n"/>
      <c r="BG43" s="85" t="n"/>
      <c r="BH43" s="85" t="n"/>
      <c r="BI43" s="85" t="n"/>
      <c r="BJ43" s="85" t="n"/>
      <c r="BK43" s="85" t="n"/>
      <c r="BL43" s="85" t="n"/>
      <c r="BM43" s="85" t="n"/>
      <c r="BN43" s="85" t="n"/>
      <c r="BO43" s="85" t="n"/>
      <c r="BP43" s="85" t="n"/>
      <c r="BQ43" s="85" t="n"/>
      <c r="BR43" s="85" t="n"/>
      <c r="BS43" s="132" t="n"/>
    </row>
    <row r="44" ht="15.95" customHeight="1">
      <c r="A44" s="193" t="n"/>
      <c r="B44" s="194" t="n"/>
      <c r="C44" s="194" t="n"/>
      <c r="D44" s="194" t="n"/>
      <c r="E44" s="194" t="n"/>
      <c r="F44" s="195" t="n"/>
      <c r="G44" s="194" t="n"/>
      <c r="H44" s="194" t="n"/>
      <c r="I44" s="194" t="n"/>
      <c r="J44" s="195" t="n"/>
      <c r="K44" s="194" t="n"/>
      <c r="L44" s="194" t="n"/>
      <c r="M44" s="194" t="n"/>
      <c r="N44" s="194" t="n"/>
      <c r="O44" s="194" t="n"/>
      <c r="P44" s="194" t="n"/>
      <c r="Q44" s="194" t="n"/>
      <c r="R44" s="194" t="n"/>
      <c r="S44" s="194" t="n"/>
      <c r="T44" s="194" t="n"/>
      <c r="U44" s="194" t="n"/>
      <c r="V44" s="194" t="n"/>
      <c r="W44" s="194" t="n"/>
      <c r="X44" s="194" t="n"/>
      <c r="Y44" s="195" t="n"/>
      <c r="Z44" s="194" t="n"/>
      <c r="AA44" s="194" t="n"/>
      <c r="AB44" s="194" t="n"/>
      <c r="AC44" s="194" t="n"/>
      <c r="AD44" s="194" t="n"/>
      <c r="AE44" s="194" t="n"/>
      <c r="AF44" s="194" t="n"/>
      <c r="AG44" s="194" t="n"/>
      <c r="AH44" s="194" t="n"/>
      <c r="AI44" s="194" t="n"/>
      <c r="AJ44" s="195" t="n"/>
      <c r="AK44" s="194" t="n"/>
      <c r="AL44" s="194" t="n"/>
      <c r="AM44" s="195" t="n"/>
      <c r="AN44" s="194" t="n"/>
      <c r="AO44" s="194" t="n"/>
      <c r="AP44" s="194" t="n"/>
      <c r="AQ44" s="194" t="n"/>
      <c r="AR44" s="194" t="n"/>
      <c r="AS44" s="194" t="n"/>
      <c r="AT44" s="194" t="n"/>
      <c r="AU44" s="194" t="n"/>
      <c r="AV44" s="194" t="n"/>
      <c r="AW44" s="194" t="n"/>
      <c r="AX44" s="194" t="n"/>
      <c r="AY44" s="194" t="n"/>
      <c r="AZ44" s="194" t="n"/>
      <c r="BA44" s="194" t="n"/>
      <c r="BB44" s="194" t="n"/>
      <c r="BC44" s="194" t="n"/>
      <c r="BD44" s="194" t="n"/>
      <c r="BE44" s="194" t="n"/>
      <c r="BF44" s="194" t="n"/>
      <c r="BG44" s="194" t="n"/>
      <c r="BH44" s="194" t="n"/>
      <c r="BI44" s="194" t="n"/>
      <c r="BJ44" s="194" t="n"/>
      <c r="BK44" s="194" t="n"/>
      <c r="BL44" s="194" t="n"/>
      <c r="BM44" s="194" t="n"/>
      <c r="BN44" s="194" t="n"/>
      <c r="BO44" s="194" t="n"/>
      <c r="BP44" s="194" t="n"/>
      <c r="BQ44" s="194" t="n"/>
      <c r="BR44" s="194" t="n"/>
      <c r="BS44" s="196" t="n"/>
    </row>
    <row r="45" ht="15.95" customHeight="1">
      <c r="A45" s="134" t="n"/>
      <c r="B45" s="92" t="inlineStr">
        <is>
          <t>GENERAL NOTES:</t>
        </is>
      </c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  <c r="AA45" s="85" t="n"/>
      <c r="AB45" s="85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85" t="n"/>
      <c r="AL45" s="85" t="n"/>
      <c r="AM45" s="197" t="n"/>
      <c r="AN45" s="92" t="n"/>
      <c r="AO45" s="85" t="n"/>
      <c r="AP45" s="85" t="n"/>
      <c r="AQ45" s="85" t="n"/>
      <c r="AR45" s="85" t="n"/>
      <c r="AS45" s="85" t="n"/>
      <c r="AT45" s="85" t="n"/>
      <c r="AU45" s="85" t="n"/>
      <c r="AV45" s="85" t="n"/>
      <c r="AW45" s="85" t="n"/>
      <c r="AX45" s="85" t="n"/>
      <c r="AY45" s="85" t="n"/>
      <c r="AZ45" s="85" t="n"/>
      <c r="BA45" s="85" t="n"/>
      <c r="BB45" s="85" t="n"/>
      <c r="BC45" s="85" t="n"/>
      <c r="BD45" s="85" t="n"/>
      <c r="BE45" s="85" t="n"/>
      <c r="BF45" s="85" t="n"/>
      <c r="BG45" s="85" t="n"/>
      <c r="BH45" s="85" t="n"/>
      <c r="BI45" s="85" t="n"/>
      <c r="BJ45" s="86" t="n"/>
      <c r="BK45" s="85" t="n"/>
      <c r="BL45" s="85" t="n"/>
      <c r="BM45" s="85" t="n"/>
      <c r="BN45" s="85" t="n"/>
      <c r="BO45" s="85" t="n"/>
      <c r="BP45" s="85" t="n"/>
      <c r="BQ45" s="85" t="n"/>
      <c r="BR45" s="85" t="n"/>
      <c r="BS45" s="132" t="n"/>
    </row>
    <row r="46" ht="15.95" customHeight="1">
      <c r="A46" s="134" t="n"/>
      <c r="B46" s="140" t="inlineStr">
        <is>
          <t>(1) Pump curve shall be provided to determine maximum outflow conditions (End of curve).</t>
        </is>
      </c>
    </row>
    <row r="47" ht="15.95" customHeight="1">
      <c r="A47" s="134" t="n"/>
      <c r="B47" s="140" t="n"/>
    </row>
    <row r="48" ht="15.95" customHeight="1">
      <c r="A48" s="134" t="n"/>
      <c r="B48" s="86" t="n"/>
      <c r="C48" s="85" t="n"/>
      <c r="D48" s="85" t="n"/>
      <c r="E48" s="85" t="n"/>
      <c r="F48" s="86" t="n"/>
      <c r="G48" s="85" t="n"/>
      <c r="H48" s="85" t="n"/>
      <c r="I48" s="85" t="n"/>
      <c r="J48" s="85" t="n"/>
      <c r="K48" s="85" t="n"/>
      <c r="L48" s="85" t="n"/>
      <c r="M48" s="85" t="n"/>
      <c r="N48" s="86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  <c r="AA48" s="85" t="n"/>
      <c r="AB48" s="85" t="n"/>
      <c r="AC48" s="85" t="n"/>
      <c r="AD48" s="85" t="n"/>
      <c r="AE48" s="85" t="n"/>
      <c r="AF48" s="85" t="n"/>
      <c r="AG48" s="85" t="n"/>
      <c r="AH48" s="85" t="n"/>
      <c r="AI48" s="85" t="n"/>
      <c r="AJ48" s="85" t="n"/>
      <c r="AK48" s="85" t="n"/>
      <c r="AL48" s="85" t="n"/>
      <c r="AM48" s="85" t="n"/>
      <c r="AN48" s="85" t="n"/>
      <c r="AO48" s="85" t="n"/>
      <c r="AP48" s="85" t="n"/>
      <c r="AQ48" s="85" t="n"/>
      <c r="AR48" s="85" t="n"/>
      <c r="AS48" s="85" t="n"/>
      <c r="AT48" s="85" t="n"/>
      <c r="AU48" s="85" t="n"/>
      <c r="AV48" s="85" t="n"/>
      <c r="AW48" s="85" t="n"/>
      <c r="AX48" s="85" t="n"/>
      <c r="AY48" s="85" t="n"/>
      <c r="AZ48" s="85" t="n"/>
      <c r="BA48" s="85" t="n"/>
      <c r="BB48" s="85" t="n"/>
      <c r="BC48" s="85" t="n"/>
      <c r="BD48" s="85" t="n"/>
      <c r="BE48" s="85" t="n"/>
      <c r="BF48" s="85" t="n"/>
      <c r="BG48" s="85" t="n"/>
      <c r="BH48" s="85" t="n"/>
      <c r="BI48" s="85" t="n"/>
      <c r="BJ48" s="85" t="n"/>
      <c r="BK48" s="85" t="n"/>
      <c r="BL48" s="85" t="n"/>
      <c r="BM48" s="85" t="n"/>
      <c r="BN48" s="85" t="n"/>
      <c r="BO48" s="85" t="n"/>
      <c r="BP48" s="85" t="n"/>
      <c r="BQ48" s="85" t="n"/>
      <c r="BR48" s="85" t="n"/>
      <c r="BS48" s="132" t="n"/>
    </row>
    <row r="49" ht="15.95" customHeight="1">
      <c r="A49" s="134" t="n"/>
      <c r="B49" s="140" t="n"/>
    </row>
    <row r="50" ht="13.5" customHeight="1">
      <c r="A50" s="134" t="n"/>
      <c r="B50" s="140" t="n"/>
    </row>
    <row r="51" ht="13.5" customHeight="1">
      <c r="A51" s="134" t="n"/>
      <c r="B51" s="140" t="n"/>
    </row>
    <row r="52" ht="15.95" customHeight="1">
      <c r="A52" s="134" t="n"/>
      <c r="B52" s="140" t="n"/>
    </row>
    <row r="53" ht="15.95" customHeight="1">
      <c r="A53" s="134" t="n"/>
      <c r="B53" s="140" t="n"/>
    </row>
    <row r="54" ht="15.95" customHeight="1">
      <c r="A54" s="134" t="n"/>
      <c r="B54" s="140" t="n"/>
    </row>
    <row r="55" ht="15.95" customHeight="1">
      <c r="A55" s="134" t="n"/>
      <c r="B55" s="86" t="n"/>
      <c r="C55" s="86" t="n"/>
      <c r="D55" s="85" t="n"/>
      <c r="E55" s="86" t="n"/>
      <c r="F55" s="86" t="n"/>
      <c r="G55" s="86" t="n"/>
      <c r="H55" s="86" t="n"/>
      <c r="I55" s="86" t="n"/>
      <c r="J55" s="86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  <c r="AA55" s="85" t="n"/>
      <c r="AB55" s="85" t="n"/>
      <c r="AC55" s="85" t="n"/>
      <c r="AD55" s="85" t="n"/>
      <c r="AE55" s="85" t="n"/>
      <c r="AF55" s="85" t="n"/>
      <c r="AG55" s="85" t="n"/>
      <c r="AH55" s="85" t="n"/>
      <c r="AI55" s="85" t="n"/>
      <c r="AJ55" s="85" t="n"/>
      <c r="AK55" s="85" t="n"/>
      <c r="AL55" s="85" t="n"/>
      <c r="AM55" s="85" t="n"/>
      <c r="AN55" s="86" t="n"/>
      <c r="AO55" s="85" t="n"/>
      <c r="AP55" s="85" t="n"/>
      <c r="AQ55" s="85" t="n"/>
      <c r="AR55" s="85" t="n"/>
      <c r="AS55" s="85" t="n"/>
      <c r="AT55" s="85" t="n"/>
      <c r="AU55" s="85" t="n"/>
      <c r="AV55" s="85" t="n"/>
      <c r="AW55" s="85" t="n"/>
      <c r="AX55" s="85" t="n"/>
      <c r="AY55" s="85" t="n"/>
      <c r="AZ55" s="85" t="n"/>
      <c r="BA55" s="85" t="n"/>
      <c r="BB55" s="85" t="n"/>
      <c r="BC55" s="85" t="n"/>
      <c r="BD55" s="85" t="n"/>
      <c r="BE55" s="85" t="n"/>
      <c r="BF55" s="85" t="n"/>
      <c r="BG55" s="85" t="n"/>
      <c r="BH55" s="86" t="n"/>
      <c r="BI55" s="85" t="n"/>
      <c r="BJ55" s="85" t="n"/>
      <c r="BK55" s="85" t="n"/>
      <c r="BL55" s="85" t="n"/>
      <c r="BM55" s="85" t="n"/>
      <c r="BN55" s="85" t="n"/>
      <c r="BO55" s="85" t="n"/>
      <c r="BP55" s="85" t="n"/>
      <c r="BQ55" s="85" t="n"/>
      <c r="BR55" s="85" t="n"/>
      <c r="BS55" s="132" t="n"/>
    </row>
    <row r="56" ht="15.95" customHeight="1">
      <c r="A56" s="134" t="n"/>
      <c r="B56" s="86" t="n"/>
      <c r="C56" s="86" t="n"/>
      <c r="D56" s="85" t="n"/>
      <c r="E56" s="86" t="n"/>
      <c r="F56" s="86" t="n"/>
      <c r="G56" s="86" t="n"/>
      <c r="H56" s="86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  <c r="AK56" s="85" t="n"/>
      <c r="AL56" s="85" t="n"/>
      <c r="AM56" s="85" t="n"/>
      <c r="AN56" s="86" t="n"/>
      <c r="AO56" s="85" t="n"/>
      <c r="AP56" s="85" t="n"/>
      <c r="AQ56" s="85" t="n"/>
      <c r="AR56" s="85" t="n"/>
      <c r="AS56" s="85" t="n"/>
      <c r="AT56" s="85" t="n"/>
      <c r="AU56" s="85" t="n"/>
      <c r="AV56" s="85" t="n"/>
      <c r="AW56" s="85" t="n"/>
      <c r="AX56" s="85" t="n"/>
      <c r="AY56" s="85" t="n"/>
      <c r="AZ56" s="85" t="n"/>
      <c r="BA56" s="85" t="n"/>
      <c r="BB56" s="85" t="n"/>
      <c r="BC56" s="85" t="n"/>
      <c r="BD56" s="85" t="n"/>
      <c r="BE56" s="85" t="n"/>
      <c r="BF56" s="85" t="n"/>
      <c r="BG56" s="85" t="n"/>
      <c r="BH56" s="86" t="n"/>
      <c r="BI56" s="85" t="n"/>
      <c r="BJ56" s="85" t="n"/>
      <c r="BK56" s="85" t="n"/>
      <c r="BL56" s="85" t="n"/>
      <c r="BM56" s="85" t="n"/>
      <c r="BN56" s="85" t="n"/>
      <c r="BO56" s="85" t="n"/>
      <c r="BP56" s="85" t="n"/>
      <c r="BQ56" s="85" t="n"/>
      <c r="BR56" s="85" t="n"/>
      <c r="BS56" s="132" t="n"/>
    </row>
    <row r="57" ht="15.95" customHeight="1">
      <c r="A57" s="134" t="n"/>
      <c r="B57" s="86" t="n"/>
      <c r="C57" s="86" t="n"/>
      <c r="D57" s="85" t="n"/>
      <c r="E57" s="86" t="n"/>
      <c r="F57" s="86" t="n"/>
      <c r="G57" s="86" t="n"/>
      <c r="H57" s="86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6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  <c r="BC57" s="85" t="n"/>
      <c r="BD57" s="85" t="n"/>
      <c r="BE57" s="85" t="n"/>
      <c r="BF57" s="85" t="n"/>
      <c r="BG57" s="85" t="n"/>
      <c r="BH57" s="86" t="n"/>
      <c r="BI57" s="85" t="n"/>
      <c r="BJ57" s="85" t="n"/>
      <c r="BK57" s="85" t="n"/>
      <c r="BL57" s="85" t="n"/>
      <c r="BM57" s="85" t="n"/>
      <c r="BN57" s="85" t="n"/>
      <c r="BO57" s="85" t="n"/>
      <c r="BP57" s="85" t="n"/>
      <c r="BQ57" s="85" t="n"/>
      <c r="BR57" s="85" t="n"/>
      <c r="BS57" s="132" t="n"/>
    </row>
    <row r="58" ht="15.95" customHeight="1">
      <c r="A58" s="134" t="n"/>
      <c r="B58" s="86" t="n"/>
      <c r="C58" s="85" t="n"/>
      <c r="D58" s="85" t="n"/>
      <c r="E58" s="85" t="n"/>
      <c r="F58" s="86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  <c r="AK58" s="85" t="n"/>
      <c r="AL58" s="85" t="n"/>
      <c r="AM58" s="85" t="n"/>
      <c r="AN58" s="86" t="n"/>
      <c r="AO58" s="85" t="n"/>
      <c r="AP58" s="85" t="n"/>
      <c r="AQ58" s="85" t="n"/>
      <c r="AR58" s="85" t="n"/>
      <c r="AS58" s="85" t="n"/>
      <c r="AT58" s="85" t="n"/>
      <c r="AU58" s="85" t="n"/>
      <c r="AV58" s="85" t="n"/>
      <c r="AW58" s="85" t="n"/>
      <c r="AX58" s="85" t="n"/>
      <c r="AY58" s="85" t="n"/>
      <c r="AZ58" s="85" t="n"/>
      <c r="BA58" s="85" t="n"/>
      <c r="BB58" s="85" t="n"/>
      <c r="BC58" s="85" t="n"/>
      <c r="BD58" s="85" t="n"/>
      <c r="BE58" s="85" t="n"/>
      <c r="BF58" s="85" t="n"/>
      <c r="BG58" s="85" t="n"/>
      <c r="BH58" s="85" t="n"/>
      <c r="BI58" s="85" t="n"/>
      <c r="BJ58" s="85" t="n"/>
      <c r="BK58" s="85" t="n"/>
      <c r="BL58" s="85" t="n"/>
      <c r="BM58" s="85" t="n"/>
      <c r="BN58" s="85" t="n"/>
      <c r="BO58" s="85" t="n"/>
      <c r="BP58" s="85" t="n"/>
      <c r="BQ58" s="85" t="n"/>
      <c r="BR58" s="85" t="n"/>
      <c r="BS58" s="132" t="n"/>
    </row>
    <row r="59" ht="21.95" customHeight="1">
      <c r="A59" s="115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16" t="n"/>
      <c r="K59" s="116" t="n"/>
      <c r="L59" s="194" t="n"/>
      <c r="M59" s="194" t="n"/>
      <c r="N59" s="194" t="n"/>
      <c r="O59" s="194" t="n"/>
      <c r="P59" s="194" t="n"/>
      <c r="Q59" s="194" t="n"/>
      <c r="R59" s="194" t="n"/>
      <c r="S59" s="194" t="n"/>
      <c r="T59" s="194" t="n"/>
      <c r="U59" s="194" t="n"/>
      <c r="V59" s="194" t="n"/>
      <c r="W59" s="194" t="n"/>
      <c r="X59" s="194" t="n"/>
      <c r="Y59" s="194" t="n"/>
      <c r="Z59" s="194" t="n"/>
      <c r="AA59" s="194" t="n"/>
      <c r="AB59" s="194" t="n"/>
      <c r="AC59" s="194" t="n"/>
      <c r="AD59" s="194" t="n"/>
      <c r="AE59" s="194" t="n"/>
      <c r="AF59" s="194" t="n"/>
      <c r="AG59" s="194" t="n"/>
      <c r="AH59" s="194" t="n"/>
      <c r="AI59" s="194" t="n"/>
      <c r="AJ59" s="194" t="n"/>
      <c r="AK59" s="194" t="n"/>
      <c r="AL59" s="194" t="n"/>
      <c r="AM59" s="198" t="inlineStr">
        <is>
          <t>ITEM No.</t>
        </is>
      </c>
      <c r="AS59" s="199">
        <f>AW8</f>
        <v/>
      </c>
      <c r="BF59" s="198" t="inlineStr">
        <is>
          <t>SHEET</t>
        </is>
      </c>
      <c r="BL59" s="200" t="inlineStr">
        <is>
          <t>2</t>
        </is>
      </c>
      <c r="BM59" s="201" t="inlineStr">
        <is>
          <t>OF</t>
        </is>
      </c>
      <c r="BP59" s="200" t="n">
        <v>2</v>
      </c>
      <c r="BR59" s="202" t="n"/>
      <c r="BS59" s="203" t="n"/>
    </row>
    <row r="60" ht="9.949999999999999" customHeight="1">
      <c r="B60" s="104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2" t="n"/>
      <c r="U60" s="146" t="n"/>
      <c r="V60" s="142" t="n"/>
      <c r="W60" s="142" t="n"/>
      <c r="X60" s="142" t="n"/>
      <c r="Y60" s="142" t="n"/>
      <c r="Z60" s="142" t="n"/>
      <c r="AA60" s="142" t="n"/>
      <c r="AB60" s="142" t="n"/>
      <c r="AC60" s="142" t="n"/>
      <c r="AD60" s="142" t="n"/>
      <c r="AE60" s="142" t="n"/>
      <c r="AF60" s="142" t="n"/>
      <c r="AG60" s="142" t="n"/>
      <c r="AH60" s="142" t="n"/>
      <c r="AI60" s="142" t="n"/>
      <c r="AJ60" s="142" t="n"/>
      <c r="AK60" s="142" t="n"/>
      <c r="AL60" s="142" t="n"/>
      <c r="AM60" s="142" t="n"/>
      <c r="AN60" s="146" t="n"/>
      <c r="AO60" s="142" t="n"/>
      <c r="AP60" s="142" t="n"/>
      <c r="AQ60" s="142" t="n"/>
      <c r="AR60" s="142" t="n"/>
      <c r="AS60" s="142" t="n"/>
      <c r="AT60" s="142" t="n"/>
      <c r="AU60" s="142" t="n"/>
      <c r="AV60" s="142" t="n"/>
      <c r="AW60" s="142" t="n"/>
      <c r="AX60" s="142" t="n"/>
      <c r="AY60" s="142" t="n"/>
      <c r="AZ60" s="123" t="n"/>
      <c r="BA60" s="142" t="n"/>
      <c r="BB60" s="142" t="n"/>
      <c r="BC60" s="142" t="n"/>
      <c r="BD60" s="142" t="n"/>
      <c r="BE60" s="142" t="n"/>
      <c r="BF60" s="142" t="n"/>
      <c r="BG60" s="142" t="n"/>
      <c r="BH60" s="142" t="n"/>
      <c r="BI60" s="142" t="n"/>
      <c r="BJ60" s="142" t="n"/>
      <c r="BK60" s="142" t="n"/>
      <c r="BL60" s="142" t="n"/>
      <c r="BM60" s="142" t="n"/>
      <c r="BN60" s="142" t="n"/>
      <c r="BO60" s="142" t="n"/>
      <c r="BP60" s="142" t="n"/>
      <c r="BQ60" s="142" t="n"/>
      <c r="BR60" s="142" t="n"/>
      <c r="BS60" s="142" t="n"/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</sheetData>
  <printOptions horizontalCentered="1"/>
  <pageMargins left="0.3937007874015748" right="0.1968503937007874" top="0.1968503937007874" bottom="0.1968503937007874" header="0.3149606299212598" footer="0.3149606299212598"/>
  <pageSetup orientation="portrait" paperSize="9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vsahin</dc:creator>
  <dcterms:created xsi:type="dcterms:W3CDTF">2020-05-01T16:30:43Z</dcterms:created>
  <dcterms:modified xsi:type="dcterms:W3CDTF">2026-05-15T08:34:17Z</dcterms:modified>
  <cp:lastModifiedBy>KEY OIL &amp; GAS</cp:lastModifiedBy>
  <cp:lastPrinted>2026-03-09T08:55:11Z</cp:lastPrinted>
</cp:coreProperties>
</file>