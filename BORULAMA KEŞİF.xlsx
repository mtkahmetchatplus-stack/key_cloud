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name="KEŞİF" sheetId="1" state="visible" r:id="rId1"/>
  </sheets>
  <definedNames>
    <definedName name="_xlnm._FilterDatabase" localSheetId="0" hidden="1">'KEŞİF'!$B$5:$L$114</definedName>
    <definedName name="_xlnm.Print_Area" localSheetId="0">'KEŞİF'!$A$1:$M$114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#,##0.0"/>
  </numFmts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i val="1"/>
      <color rgb="FF595959"/>
      <sz val="9"/>
    </font>
    <font>
      <name val="Arial"/>
      <charset val="162"/>
      <family val="2"/>
      <b val="1"/>
      <sz val="10"/>
    </font>
    <font>
      <name val="Calibri"/>
      <charset val="1"/>
      <family val="2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8E8E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2" borderId="5" pivotButton="0" quotePrefix="0" xfId="0"/>
    <xf numFmtId="0" fontId="0" fillId="2" borderId="2" pivotButton="0" quotePrefix="0" xfId="0"/>
    <xf numFmtId="0" fontId="3" fillId="2" borderId="2" applyAlignment="1" pivotButton="0" quotePrefix="0" xfId="0">
      <alignment horizontal="left"/>
    </xf>
    <xf numFmtId="164" fontId="3" fillId="2" borderId="2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4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4" fontId="5" fillId="3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3" borderId="5" applyAlignment="1" pivotButton="0" quotePrefix="0" xfId="0">
      <alignment horizontal="center" vertical="center"/>
    </xf>
    <xf numFmtId="3" fontId="5" fillId="3" borderId="5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A9A9"/>
      <rgbColor rgb="FF595959"/>
      <rgbColor rgb="FF9999FF"/>
      <rgbColor rgb="FF993366"/>
      <rgbColor rgb="FFFFFFD0"/>
      <rgbColor rgb="FFF5F5F5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99999"/>
      <rgbColor rgb="FF003366"/>
      <rgbColor rgb="FF339966"/>
      <rgbColor rgb="FF003300"/>
      <rgbColor rgb="FF404040"/>
      <rgbColor rgb="FF993300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87"/>
  <sheetViews>
    <sheetView tabSelected="1" view="pageBreakPreview" zoomScaleNormal="100" zoomScaleSheetLayoutView="100" workbookViewId="0">
      <pane ySplit="5" topLeftCell="A84" activePane="bottomLeft" state="frozen"/>
      <selection pane="bottomLeft" activeCell="C5" sqref="C5"/>
    </sheetView>
  </sheetViews>
  <sheetFormatPr baseColWidth="8" defaultColWidth="8.7109375" defaultRowHeight="15"/>
  <cols>
    <col width="3" customWidth="1" min="1" max="1"/>
    <col width="5" customWidth="1" min="2" max="2"/>
    <col width="102.85546875" customWidth="1" min="3" max="3"/>
    <col width="19.7109375" bestFit="1" customWidth="1" style="1" min="4" max="4"/>
    <col width="16" customWidth="1" style="14" min="5" max="5"/>
    <col width="12" customWidth="1" style="14" min="6" max="6"/>
    <col width="12" customWidth="1" min="7" max="7"/>
    <col width="7.85546875" bestFit="1" customWidth="1" min="8" max="8"/>
    <col width="12.42578125" customWidth="1" min="9" max="9"/>
    <col width="7.85546875" customWidth="1" min="10" max="10"/>
    <col width="12.28515625" bestFit="1" customWidth="1" min="11" max="11"/>
    <col width="13.7109375" customWidth="1" min="12" max="12"/>
    <col width="3" customWidth="1" min="13" max="13"/>
  </cols>
  <sheetData>
    <row r="1" ht="11.25" customHeight="1"/>
    <row r="2">
      <c r="B2" s="2" t="inlineStr">
        <is>
          <t>Rev:</t>
        </is>
      </c>
      <c r="C2" s="3" t="n"/>
      <c r="D2" s="4" t="n">
        <v>0</v>
      </c>
      <c r="E2" s="16" t="n"/>
    </row>
    <row r="3">
      <c r="B3" s="2" t="inlineStr">
        <is>
          <t>Tarih:</t>
        </is>
      </c>
      <c r="C3" s="3" t="n"/>
      <c r="D3" s="5" t="n">
        <v>46185</v>
      </c>
      <c r="E3" s="17" t="n"/>
    </row>
    <row r="4" ht="9.75" customHeight="1">
      <c r="B4" s="6" t="n"/>
      <c r="C4" s="7" t="n"/>
    </row>
    <row r="5" ht="36" customHeight="1">
      <c r="B5" s="8" t="inlineStr">
        <is>
          <t>NO</t>
        </is>
      </c>
      <c r="C5" s="8" t="inlineStr">
        <is>
          <t>AÇIKLAMA</t>
        </is>
      </c>
      <c r="D5" s="8" t="inlineStr">
        <is>
          <t>FAZ</t>
        </is>
      </c>
      <c r="E5" s="8" t="inlineStr">
        <is>
          <t>EBAT</t>
        </is>
      </c>
      <c r="F5" s="8" t="inlineStr">
        <is>
          <t>MALZEME</t>
        </is>
      </c>
      <c r="G5" s="8" t="inlineStr">
        <is>
          <t>NET METRAJ</t>
        </is>
      </c>
      <c r="H5" s="8" t="inlineStr">
        <is>
          <t>UNIT</t>
        </is>
      </c>
      <c r="I5" s="8" t="inlineStr">
        <is>
          <t>WDI KATSAYISI</t>
        </is>
      </c>
      <c r="J5" s="8" t="inlineStr">
        <is>
          <t>WDI</t>
        </is>
      </c>
      <c r="K5" s="8" t="inlineStr">
        <is>
          <t>İŞÇİLİK DEVLET POZU</t>
        </is>
      </c>
      <c r="L5" s="8" t="inlineStr">
        <is>
          <t>NOTLAR</t>
        </is>
      </c>
    </row>
    <row r="6" ht="24" customHeight="1">
      <c r="B6" s="9">
        <f>+ROW()-5</f>
        <v/>
      </c>
      <c r="C6" s="24" t="inlineStr">
        <is>
          <t>STUD BOLT, WITH 2 HEAVY HEXAGONAL NUTS, ASTM A193 GR.B7 / A194 GR.2H, ASME B18.2.1 / B18.2.2, -</t>
        </is>
      </c>
      <c r="D6" s="10" t="inlineStr">
        <is>
          <t>FAZ1</t>
        </is>
      </c>
      <c r="E6" s="15" t="inlineStr">
        <is>
          <t>M14x70</t>
        </is>
      </c>
      <c r="F6" s="15" t="inlineStr">
        <is>
          <t>CS</t>
        </is>
      </c>
      <c r="G6" s="11" t="n">
        <v>4</v>
      </c>
      <c r="H6" s="10" t="inlineStr">
        <is>
          <t>ADET</t>
        </is>
      </c>
      <c r="I6" s="10" t="inlineStr">
        <is>
          <t>-</t>
        </is>
      </c>
      <c r="J6" s="20" t="inlineStr">
        <is>
          <t>-</t>
        </is>
      </c>
      <c r="K6" s="10" t="n"/>
      <c r="L6" s="12" t="inlineStr">
        <is>
          <t>BOLT &amp; GASKET</t>
        </is>
      </c>
    </row>
    <row r="7" ht="24" customHeight="1">
      <c r="B7" s="9">
        <f>+ROW()-5</f>
        <v/>
      </c>
      <c r="C7" s="24" t="inlineStr">
        <is>
          <t>STUD BOLT, WITH 2 HEAVY HEXAGONAL NUTS, ASTM A193 GR.B7 / A194 GR.2H, ASME B18.2.1 / B18.2.2, -</t>
        </is>
      </c>
      <c r="D7" s="10" t="inlineStr">
        <is>
          <t>FAZ1</t>
        </is>
      </c>
      <c r="E7" s="18" t="inlineStr">
        <is>
          <t>M14x80</t>
        </is>
      </c>
      <c r="F7" s="15" t="inlineStr">
        <is>
          <t>CS</t>
        </is>
      </c>
      <c r="G7" s="11" t="n">
        <v>4</v>
      </c>
      <c r="H7" s="10" t="inlineStr">
        <is>
          <t>ADET</t>
        </is>
      </c>
      <c r="I7" s="10" t="inlineStr">
        <is>
          <t>-</t>
        </is>
      </c>
      <c r="J7" s="20" t="inlineStr">
        <is>
          <t>-</t>
        </is>
      </c>
      <c r="K7" s="10" t="n"/>
      <c r="L7" s="12" t="inlineStr">
        <is>
          <t>BOLT &amp; GASKET</t>
        </is>
      </c>
    </row>
    <row r="8" ht="24" customHeight="1">
      <c r="B8" s="9">
        <f>+ROW()-5</f>
        <v/>
      </c>
      <c r="C8" s="24" t="inlineStr">
        <is>
          <t>STUD BOLT, WITH 2 HEAVY HEXAGONAL NUTS, ASTM A193 GR.B7 / A194 GR.2H, ASME B18.2.1 / B18.2.2, -</t>
        </is>
      </c>
      <c r="D8" s="10" t="inlineStr">
        <is>
          <t>FAZ1</t>
        </is>
      </c>
      <c r="E8" s="18" t="inlineStr">
        <is>
          <t>M16x90</t>
        </is>
      </c>
      <c r="F8" s="15" t="inlineStr">
        <is>
          <t>CS</t>
        </is>
      </c>
      <c r="G8" s="11" t="n">
        <v>36</v>
      </c>
      <c r="H8" s="10" t="inlineStr">
        <is>
          <t>ADET</t>
        </is>
      </c>
      <c r="I8" s="10" t="inlineStr">
        <is>
          <t>-</t>
        </is>
      </c>
      <c r="J8" s="20" t="inlineStr">
        <is>
          <t>-</t>
        </is>
      </c>
      <c r="K8" s="10" t="n"/>
      <c r="L8" s="12" t="inlineStr">
        <is>
          <t>BOLT &amp; GASKET</t>
        </is>
      </c>
    </row>
    <row r="9" ht="24" customHeight="1">
      <c r="B9" s="9">
        <f>+ROW()-5</f>
        <v/>
      </c>
      <c r="C9" s="24" t="inlineStr">
        <is>
          <t>STUD BOLT, WITH 2 HEAVY HEXAGONAL NUTS, ASTM A193 GR.B7 / A194 GR.2H, ASME B18.2.1 / B18.2.2, -</t>
        </is>
      </c>
      <c r="D9" s="10" t="inlineStr">
        <is>
          <t>FAZ1</t>
        </is>
      </c>
      <c r="E9" s="18" t="inlineStr">
        <is>
          <t>M16x100</t>
        </is>
      </c>
      <c r="F9" s="15" t="inlineStr">
        <is>
          <t>CS</t>
        </is>
      </c>
      <c r="G9" s="11" t="n">
        <v>176</v>
      </c>
      <c r="H9" s="10" t="inlineStr">
        <is>
          <t>ADET</t>
        </is>
      </c>
      <c r="I9" s="10" t="inlineStr">
        <is>
          <t>-</t>
        </is>
      </c>
      <c r="J9" s="20" t="inlineStr">
        <is>
          <t>-</t>
        </is>
      </c>
      <c r="K9" s="10" t="n"/>
      <c r="L9" s="12" t="inlineStr">
        <is>
          <t>BOLT &amp; GASKET</t>
        </is>
      </c>
    </row>
    <row r="10" ht="24" customHeight="1">
      <c r="B10" s="9">
        <f>+ROW()-5</f>
        <v/>
      </c>
      <c r="C10" s="24" t="inlineStr">
        <is>
          <t>STUD BOLT, WITH 2 HEAVY HEXAGONAL NUTS, ASTM A193 GR.B7 / A194 GR.2H, ASME B18.2.1 / B18.2.2, -</t>
        </is>
      </c>
      <c r="D10" s="10" t="inlineStr">
        <is>
          <t>FAZ1</t>
        </is>
      </c>
      <c r="E10" s="18" t="inlineStr">
        <is>
          <t>M20x110</t>
        </is>
      </c>
      <c r="F10" s="15" t="inlineStr">
        <is>
          <t>CS</t>
        </is>
      </c>
      <c r="G10" s="11" t="n">
        <v>312</v>
      </c>
      <c r="H10" s="10" t="inlineStr">
        <is>
          <t>ADET</t>
        </is>
      </c>
      <c r="I10" s="10" t="inlineStr">
        <is>
          <t>-</t>
        </is>
      </c>
      <c r="J10" s="20" t="inlineStr">
        <is>
          <t>-</t>
        </is>
      </c>
      <c r="K10" s="10" t="n"/>
      <c r="L10" s="12" t="inlineStr">
        <is>
          <t>BOLT &amp; GASKET</t>
        </is>
      </c>
    </row>
    <row r="11" ht="24" customHeight="1">
      <c r="B11" s="9">
        <f>+ROW()-5</f>
        <v/>
      </c>
      <c r="C11" s="24" t="inlineStr">
        <is>
          <t>STUD BOLT, WITH 2 HEAVY HEXAGONAL NUTS, ASTM A193 GR.B7 / A194 GR.2H, ASME B18.2.1 / B18.2.2, -</t>
        </is>
      </c>
      <c r="D11" s="10" t="inlineStr">
        <is>
          <t>FAZ1</t>
        </is>
      </c>
      <c r="E11" s="18" t="inlineStr">
        <is>
          <t>M20x120</t>
        </is>
      </c>
      <c r="F11" s="15" t="inlineStr">
        <is>
          <t>CS</t>
        </is>
      </c>
      <c r="G11" s="11" t="n">
        <v>88</v>
      </c>
      <c r="H11" s="10" t="inlineStr">
        <is>
          <t>ADET</t>
        </is>
      </c>
      <c r="I11" s="10" t="inlineStr">
        <is>
          <t>-</t>
        </is>
      </c>
      <c r="J11" s="20" t="inlineStr">
        <is>
          <t>-</t>
        </is>
      </c>
      <c r="K11" s="10" t="n"/>
      <c r="L11" s="12" t="inlineStr">
        <is>
          <t>BOLT &amp; GASKET</t>
        </is>
      </c>
    </row>
    <row r="12" ht="24" customHeight="1">
      <c r="B12" s="9">
        <f>+ROW()-5</f>
        <v/>
      </c>
      <c r="C12" s="24" t="inlineStr">
        <is>
          <t>STUD BOLT, WITH 2 HEAVY HEXAGONAL NUTS, ASTM A193 GR.B7 / A194 GR.2H, ASME B18.2.1 / B18.2.2, -</t>
        </is>
      </c>
      <c r="D12" s="10" t="inlineStr">
        <is>
          <t>FAZ1</t>
        </is>
      </c>
      <c r="E12" s="18" t="inlineStr">
        <is>
          <t>M24x130</t>
        </is>
      </c>
      <c r="F12" s="15" t="inlineStr">
        <is>
          <t>CS</t>
        </is>
      </c>
      <c r="G12" s="11" t="n">
        <v>624</v>
      </c>
      <c r="H12" s="10" t="inlineStr">
        <is>
          <t>ADET</t>
        </is>
      </c>
      <c r="I12" s="10" t="inlineStr">
        <is>
          <t>-</t>
        </is>
      </c>
      <c r="J12" s="20" t="inlineStr">
        <is>
          <t>-</t>
        </is>
      </c>
      <c r="K12" s="10" t="n"/>
      <c r="L12" s="12" t="inlineStr">
        <is>
          <t>BOLT &amp; GASKET</t>
        </is>
      </c>
    </row>
    <row r="13">
      <c r="B13" s="9">
        <f>+ROW()-5</f>
        <v/>
      </c>
      <c r="C13" s="24" t="inlineStr">
        <is>
          <t>ELBOW 45, BW, ASME B16.9, ASTM A234 WPB, 20</t>
        </is>
      </c>
      <c r="D13" s="10" t="inlineStr">
        <is>
          <t>FAZ1</t>
        </is>
      </c>
      <c r="E13" s="22" t="n">
        <v>12</v>
      </c>
      <c r="F13" s="15" t="inlineStr">
        <is>
          <t>CS</t>
        </is>
      </c>
      <c r="G13" s="11" t="n">
        <v>9</v>
      </c>
      <c r="H13" s="10" t="inlineStr">
        <is>
          <t>ADET</t>
        </is>
      </c>
      <c r="I13" s="10" t="n">
        <v>2</v>
      </c>
      <c r="J13" s="20">
        <f>+I13*E13*G13</f>
        <v/>
      </c>
      <c r="K13" s="10" t="n"/>
      <c r="L13" s="12" t="inlineStr">
        <is>
          <t>FITTING</t>
        </is>
      </c>
    </row>
    <row r="14">
      <c r="B14" s="9">
        <f>+ROW()-5</f>
        <v/>
      </c>
      <c r="C14" s="24" t="inlineStr">
        <is>
          <t>ELBOW 45, BW, ASME B16.9, ASTM A234 WPB, 40</t>
        </is>
      </c>
      <c r="D14" s="10" t="inlineStr">
        <is>
          <t>FAZ1</t>
        </is>
      </c>
      <c r="E14" s="22" t="n">
        <v>12</v>
      </c>
      <c r="F14" s="15" t="inlineStr">
        <is>
          <t>CS</t>
        </is>
      </c>
      <c r="G14" s="11" t="n">
        <v>4</v>
      </c>
      <c r="H14" s="10" t="inlineStr">
        <is>
          <t>ADET</t>
        </is>
      </c>
      <c r="I14" s="10" t="n">
        <v>2</v>
      </c>
      <c r="J14" s="20">
        <f>+I14*E14*G14</f>
        <v/>
      </c>
      <c r="K14" s="10" t="n"/>
      <c r="L14" s="12" t="inlineStr">
        <is>
          <t>FITTING</t>
        </is>
      </c>
    </row>
    <row r="15">
      <c r="B15" s="9">
        <f>+ROW()-5</f>
        <v/>
      </c>
      <c r="C15" s="24" t="inlineStr">
        <is>
          <t>ELBOW 45, BW, ASME B16.9, ASTM A234 WPB, 20</t>
        </is>
      </c>
      <c r="D15" s="10" t="inlineStr">
        <is>
          <t>FAZ1</t>
        </is>
      </c>
      <c r="E15" s="22" t="n">
        <v>8</v>
      </c>
      <c r="F15" s="15" t="inlineStr">
        <is>
          <t>CS</t>
        </is>
      </c>
      <c r="G15" s="11" t="n">
        <v>1</v>
      </c>
      <c r="H15" s="10" t="inlineStr">
        <is>
          <t>ADET</t>
        </is>
      </c>
      <c r="I15" s="10" t="n">
        <v>2</v>
      </c>
      <c r="J15" s="20">
        <f>+I15*E15*G15</f>
        <v/>
      </c>
      <c r="K15" s="10" t="n"/>
      <c r="L15" s="12" t="inlineStr">
        <is>
          <t>FITTING</t>
        </is>
      </c>
    </row>
    <row r="16">
      <c r="B16" s="9">
        <f>+ROW()-5</f>
        <v/>
      </c>
      <c r="C16" s="24" t="inlineStr">
        <is>
          <t>ELBOW 45, BW, ASME B16.9, ASTM A234 WPB, 40</t>
        </is>
      </c>
      <c r="D16" s="10" t="inlineStr">
        <is>
          <t>FAZ1</t>
        </is>
      </c>
      <c r="E16" s="22" t="n">
        <v>8</v>
      </c>
      <c r="F16" s="15" t="inlineStr">
        <is>
          <t>CS</t>
        </is>
      </c>
      <c r="G16" s="11" t="n">
        <v>4</v>
      </c>
      <c r="H16" s="10" t="inlineStr">
        <is>
          <t>ADET</t>
        </is>
      </c>
      <c r="I16" s="10" t="n">
        <v>2</v>
      </c>
      <c r="J16" s="20">
        <f>+I16*E16*G16</f>
        <v/>
      </c>
      <c r="K16" s="10" t="n"/>
      <c r="L16" s="12" t="inlineStr">
        <is>
          <t>FITTING</t>
        </is>
      </c>
    </row>
    <row r="17">
      <c r="B17" s="9">
        <f>+ROW()-5</f>
        <v/>
      </c>
      <c r="C17" s="24" t="inlineStr">
        <is>
          <t>ELBOW 90, BW, ASME B16.9, ASTM A234 GR.WPB, 20</t>
        </is>
      </c>
      <c r="D17" s="10" t="inlineStr">
        <is>
          <t>FAZ1</t>
        </is>
      </c>
      <c r="E17" s="22" t="n">
        <v>12</v>
      </c>
      <c r="F17" s="15" t="inlineStr">
        <is>
          <t>CS</t>
        </is>
      </c>
      <c r="G17" s="11" t="n">
        <v>12</v>
      </c>
      <c r="H17" s="10" t="inlineStr">
        <is>
          <t>ADET</t>
        </is>
      </c>
      <c r="I17" s="10" t="n">
        <v>2</v>
      </c>
      <c r="J17" s="20">
        <f>+I17*E17*G17</f>
        <v/>
      </c>
      <c r="K17" s="10" t="n"/>
      <c r="L17" s="12" t="inlineStr">
        <is>
          <t>FITTING</t>
        </is>
      </c>
    </row>
    <row r="18">
      <c r="B18" s="9">
        <f>+ROW()-5</f>
        <v/>
      </c>
      <c r="C18" s="24" t="inlineStr">
        <is>
          <t>ELBOW 90, BW, ASME B16.9, ASTM A234 GR.WPB, 40</t>
        </is>
      </c>
      <c r="D18" s="10" t="inlineStr">
        <is>
          <t>FAZ1</t>
        </is>
      </c>
      <c r="E18" s="22" t="n">
        <v>12</v>
      </c>
      <c r="F18" s="15" t="inlineStr">
        <is>
          <t>CS</t>
        </is>
      </c>
      <c r="G18" s="11" t="n">
        <v>16</v>
      </c>
      <c r="H18" s="10" t="inlineStr">
        <is>
          <t>ADET</t>
        </is>
      </c>
      <c r="I18" s="10" t="n">
        <v>2</v>
      </c>
      <c r="J18" s="20">
        <f>+I18*E18*G18</f>
        <v/>
      </c>
      <c r="K18" s="10" t="n"/>
      <c r="L18" s="12" t="inlineStr">
        <is>
          <t>FITTING</t>
        </is>
      </c>
    </row>
    <row r="19">
      <c r="B19" s="9">
        <f>+ROW()-5</f>
        <v/>
      </c>
      <c r="C19" s="24" t="inlineStr">
        <is>
          <t>ELBOW 90, BW, ASME B16.9, ASTM A234 GR.WPB, 40</t>
        </is>
      </c>
      <c r="D19" s="10" t="inlineStr">
        <is>
          <t>FAZ1</t>
        </is>
      </c>
      <c r="E19" s="22" t="n">
        <v>3</v>
      </c>
      <c r="F19" s="15" t="inlineStr">
        <is>
          <t>CS</t>
        </is>
      </c>
      <c r="G19" s="11" t="n">
        <v>5</v>
      </c>
      <c r="H19" s="10" t="inlineStr">
        <is>
          <t>ADET</t>
        </is>
      </c>
      <c r="I19" s="10" t="n">
        <v>2</v>
      </c>
      <c r="J19" s="20">
        <f>+I19*E19*G19</f>
        <v/>
      </c>
      <c r="K19" s="10" t="n"/>
      <c r="L19" s="12" t="inlineStr">
        <is>
          <t>FITTING</t>
        </is>
      </c>
    </row>
    <row r="20">
      <c r="B20" s="9">
        <f>+ROW()-5</f>
        <v/>
      </c>
      <c r="C20" s="24" t="inlineStr">
        <is>
          <t>ELBOW 90, SW, 3000 LB, ASME B16.11, ASTM A105, 3000</t>
        </is>
      </c>
      <c r="D20" s="10" t="inlineStr">
        <is>
          <t>FAZ1</t>
        </is>
      </c>
      <c r="E20" s="18" t="n">
        <v>0.75</v>
      </c>
      <c r="F20" s="15" t="inlineStr">
        <is>
          <t>CS</t>
        </is>
      </c>
      <c r="G20" s="11" t="n">
        <v>5</v>
      </c>
      <c r="H20" s="10" t="inlineStr">
        <is>
          <t>ADET</t>
        </is>
      </c>
      <c r="I20" s="10" t="n">
        <v>2</v>
      </c>
      <c r="J20" s="20">
        <f>+ROUNDUP(I20*E20*G20,0)</f>
        <v/>
      </c>
      <c r="K20" s="10" t="n"/>
      <c r="L20" s="12" t="inlineStr">
        <is>
          <t>FITTING</t>
        </is>
      </c>
    </row>
    <row r="21">
      <c r="B21" s="9">
        <f>+ROW()-5</f>
        <v/>
      </c>
      <c r="C21" s="24" t="inlineStr">
        <is>
          <t>ELBOW 90, BW, ASME B16.9, ASTM A234 GR.WPB, 40</t>
        </is>
      </c>
      <c r="D21" s="10" t="inlineStr">
        <is>
          <t>FAZ1</t>
        </is>
      </c>
      <c r="E21" s="22" t="n">
        <v>4</v>
      </c>
      <c r="F21" s="15" t="inlineStr">
        <is>
          <t>CS</t>
        </is>
      </c>
      <c r="G21" s="11" t="n">
        <v>20</v>
      </c>
      <c r="H21" s="10" t="inlineStr">
        <is>
          <t>ADET</t>
        </is>
      </c>
      <c r="I21" s="10" t="n">
        <v>2</v>
      </c>
      <c r="J21" s="20">
        <f>+I21*E21*G21</f>
        <v/>
      </c>
      <c r="K21" s="10" t="n"/>
      <c r="L21" s="12" t="inlineStr">
        <is>
          <t>FITTING</t>
        </is>
      </c>
    </row>
    <row r="22">
      <c r="B22" s="9">
        <f>+ROW()-5</f>
        <v/>
      </c>
      <c r="C22" s="24" t="inlineStr">
        <is>
          <t>ELBOW 90, BW, SEAMLESS, ASME B16.9, ASTM A234 GR.WPB, 40</t>
        </is>
      </c>
      <c r="D22" s="10" t="inlineStr">
        <is>
          <t>FAZ1</t>
        </is>
      </c>
      <c r="E22" s="22" t="n">
        <v>4</v>
      </c>
      <c r="F22" s="15" t="inlineStr">
        <is>
          <t>CS</t>
        </is>
      </c>
      <c r="G22" s="11" t="n">
        <v>9</v>
      </c>
      <c r="H22" s="10" t="inlineStr">
        <is>
          <t>ADET</t>
        </is>
      </c>
      <c r="I22" s="10" t="n">
        <v>2</v>
      </c>
      <c r="J22" s="20">
        <f>+I22*E22*G22</f>
        <v/>
      </c>
      <c r="K22" s="10" t="n"/>
      <c r="L22" s="12" t="inlineStr">
        <is>
          <t>FITTING</t>
        </is>
      </c>
    </row>
    <row r="23">
      <c r="B23" s="9">
        <f>+ROW()-5</f>
        <v/>
      </c>
      <c r="C23" s="24" t="inlineStr">
        <is>
          <t>ELBOW 90, BW, ASME B16.9, ASTM A234 GR.WPB, 40</t>
        </is>
      </c>
      <c r="D23" s="10" t="inlineStr">
        <is>
          <t>FAZ1</t>
        </is>
      </c>
      <c r="E23" s="22" t="n">
        <v>6</v>
      </c>
      <c r="F23" s="15" t="inlineStr">
        <is>
          <t>CS</t>
        </is>
      </c>
      <c r="G23" s="11" t="n">
        <v>18</v>
      </c>
      <c r="H23" s="10" t="inlineStr">
        <is>
          <t>ADET</t>
        </is>
      </c>
      <c r="I23" s="10" t="n">
        <v>2</v>
      </c>
      <c r="J23" s="20">
        <f>+I23*E23*G23</f>
        <v/>
      </c>
      <c r="K23" s="10" t="n"/>
      <c r="L23" s="12" t="inlineStr">
        <is>
          <t>FITTING</t>
        </is>
      </c>
    </row>
    <row r="24">
      <c r="B24" s="9">
        <f>+ROW()-5</f>
        <v/>
      </c>
      <c r="C24" s="24" t="inlineStr">
        <is>
          <t>ELBOW 90, BW, ASME B16.9, ASTM A234 GR.WPB, 20</t>
        </is>
      </c>
      <c r="D24" s="10" t="inlineStr">
        <is>
          <t>FAZ1</t>
        </is>
      </c>
      <c r="E24" s="22" t="n">
        <v>8</v>
      </c>
      <c r="F24" s="15" t="inlineStr">
        <is>
          <t>CS</t>
        </is>
      </c>
      <c r="G24" s="11" t="n">
        <v>3</v>
      </c>
      <c r="H24" s="10" t="inlineStr">
        <is>
          <t>ADET</t>
        </is>
      </c>
      <c r="I24" s="10" t="n">
        <v>2</v>
      </c>
      <c r="J24" s="20">
        <f>+I24*E24*G24</f>
        <v/>
      </c>
      <c r="K24" s="10" t="n"/>
      <c r="L24" s="12" t="inlineStr">
        <is>
          <t>FITTING</t>
        </is>
      </c>
    </row>
    <row r="25">
      <c r="B25" s="9">
        <f>+ROW()-5</f>
        <v/>
      </c>
      <c r="C25" s="24" t="inlineStr">
        <is>
          <t>ELBOW 90, BW, ASME B16.9, ASTM A234 GR.WPB, 40</t>
        </is>
      </c>
      <c r="D25" s="10" t="inlineStr">
        <is>
          <t>FAZ1</t>
        </is>
      </c>
      <c r="E25" s="22" t="n">
        <v>8</v>
      </c>
      <c r="F25" s="15" t="inlineStr">
        <is>
          <t>CS</t>
        </is>
      </c>
      <c r="G25" s="11" t="n">
        <v>4</v>
      </c>
      <c r="H25" s="10" t="inlineStr">
        <is>
          <t>ADET</t>
        </is>
      </c>
      <c r="I25" s="10" t="n">
        <v>2</v>
      </c>
      <c r="J25" s="20">
        <f>+I25*E25*G25</f>
        <v/>
      </c>
      <c r="K25" s="10" t="n"/>
      <c r="L25" s="12" t="inlineStr">
        <is>
          <t>FITTING</t>
        </is>
      </c>
    </row>
    <row r="26">
      <c r="B26" s="9">
        <f>+ROW()-5</f>
        <v/>
      </c>
      <c r="C26" s="24" t="inlineStr">
        <is>
          <t>ELBOW 90, BW, SEAMLESS, ASME B16.9, ASTM A234 GR.WPB, 40</t>
        </is>
      </c>
      <c r="D26" s="10" t="inlineStr">
        <is>
          <t>FAZ1</t>
        </is>
      </c>
      <c r="E26" s="22" t="n">
        <v>8</v>
      </c>
      <c r="F26" s="15" t="inlineStr">
        <is>
          <t>CS</t>
        </is>
      </c>
      <c r="G26" s="11" t="n">
        <v>2</v>
      </c>
      <c r="H26" s="10" t="inlineStr">
        <is>
          <t>ADET</t>
        </is>
      </c>
      <c r="I26" s="10" t="n">
        <v>2</v>
      </c>
      <c r="J26" s="20">
        <f>+I26*E26*G26</f>
        <v/>
      </c>
      <c r="K26" s="10" t="n"/>
      <c r="L26" s="12" t="inlineStr">
        <is>
          <t>FITTING</t>
        </is>
      </c>
    </row>
    <row r="27">
      <c r="B27" s="9">
        <f>+ROW()-5</f>
        <v/>
      </c>
      <c r="C27" s="24" t="inlineStr">
        <is>
          <t>FLANGE BLIND, 150 LB, RF, ASME B16.5, ASTM A234 GR WPB, 150</t>
        </is>
      </c>
      <c r="D27" s="10" t="inlineStr">
        <is>
          <t>FAZ1</t>
        </is>
      </c>
      <c r="E27" s="22" t="n">
        <v>12</v>
      </c>
      <c r="F27" s="15" t="inlineStr">
        <is>
          <t>CS</t>
        </is>
      </c>
      <c r="G27" s="11" t="n">
        <v>4</v>
      </c>
      <c r="H27" s="10" t="inlineStr">
        <is>
          <t>ADET</t>
        </is>
      </c>
      <c r="I27" s="10" t="n">
        <v>1</v>
      </c>
      <c r="J27" s="20">
        <f>+I27*E27*G27</f>
        <v/>
      </c>
      <c r="K27" s="10" t="n"/>
      <c r="L27" s="12" t="inlineStr">
        <is>
          <t>FLANŞ</t>
        </is>
      </c>
    </row>
    <row r="28">
      <c r="B28" s="9">
        <f>+ROW()-5</f>
        <v/>
      </c>
      <c r="C28" s="24" t="inlineStr">
        <is>
          <t>FLANGE BLIND, 150 LB, RF, ASTM A 105, ASME B16.5, 150</t>
        </is>
      </c>
      <c r="D28" s="10" t="inlineStr">
        <is>
          <t>FAZ1</t>
        </is>
      </c>
      <c r="E28" s="22" t="n">
        <v>12</v>
      </c>
      <c r="F28" s="15" t="inlineStr">
        <is>
          <t>CS</t>
        </is>
      </c>
      <c r="G28" s="11" t="n">
        <v>8</v>
      </c>
      <c r="H28" s="10" t="inlineStr">
        <is>
          <t>ADET</t>
        </is>
      </c>
      <c r="I28" s="10" t="n">
        <v>1</v>
      </c>
      <c r="J28" s="20">
        <f>+I28*E28*G28</f>
        <v/>
      </c>
      <c r="K28" s="10" t="n"/>
      <c r="L28" s="12" t="inlineStr">
        <is>
          <t>FLANŞ</t>
        </is>
      </c>
    </row>
    <row r="29">
      <c r="B29" s="9">
        <f>+ROW()-5</f>
        <v/>
      </c>
      <c r="C29" s="24" t="inlineStr">
        <is>
          <t>FLANGE BLIND, 150 LB, RF, ASME B16.5, ASTM A234 GR WPB, 150</t>
        </is>
      </c>
      <c r="D29" s="10" t="inlineStr">
        <is>
          <t>FAZ1</t>
        </is>
      </c>
      <c r="E29" s="22" t="n">
        <v>3</v>
      </c>
      <c r="F29" s="15" t="inlineStr">
        <is>
          <t>CS</t>
        </is>
      </c>
      <c r="G29" s="11" t="n">
        <v>1</v>
      </c>
      <c r="H29" s="10" t="inlineStr">
        <is>
          <t>ADET</t>
        </is>
      </c>
      <c r="I29" s="10" t="n">
        <v>1</v>
      </c>
      <c r="J29" s="20">
        <f>+I29*E29*G29</f>
        <v/>
      </c>
      <c r="K29" s="10" t="n"/>
      <c r="L29" s="12" t="inlineStr">
        <is>
          <t>FLANŞ</t>
        </is>
      </c>
    </row>
    <row r="30">
      <c r="B30" s="9">
        <f>+ROW()-5</f>
        <v/>
      </c>
      <c r="C30" s="24" t="inlineStr">
        <is>
          <t>FLANGE BLIND, 150 LB, RF, ASME B16.5, ASTM A234 GR WPB, 150</t>
        </is>
      </c>
      <c r="D30" s="10" t="inlineStr">
        <is>
          <t>FAZ1</t>
        </is>
      </c>
      <c r="E30" s="22" t="n">
        <v>4</v>
      </c>
      <c r="F30" s="15" t="inlineStr">
        <is>
          <t>CS</t>
        </is>
      </c>
      <c r="G30" s="11" t="n">
        <v>1</v>
      </c>
      <c r="H30" s="10" t="inlineStr">
        <is>
          <t>ADET</t>
        </is>
      </c>
      <c r="I30" s="10" t="n">
        <v>1</v>
      </c>
      <c r="J30" s="20">
        <f>+I30*E30*G30</f>
        <v/>
      </c>
      <c r="K30" s="10" t="n"/>
      <c r="L30" s="12" t="inlineStr">
        <is>
          <t>FLANŞ</t>
        </is>
      </c>
    </row>
    <row r="31">
      <c r="B31" s="9">
        <f>+ROW()-5</f>
        <v/>
      </c>
      <c r="C31" s="24" t="inlineStr">
        <is>
          <t>FLANGE BLIND, 150 LB, RF, ASTM A 105, ASME B16.5, 150</t>
        </is>
      </c>
      <c r="D31" s="10" t="inlineStr">
        <is>
          <t>FAZ1</t>
        </is>
      </c>
      <c r="E31" s="22" t="n">
        <v>4</v>
      </c>
      <c r="F31" s="15" t="inlineStr">
        <is>
          <t>CS</t>
        </is>
      </c>
      <c r="G31" s="11" t="n">
        <v>1</v>
      </c>
      <c r="H31" s="10" t="inlineStr">
        <is>
          <t>ADET</t>
        </is>
      </c>
      <c r="I31" s="10" t="n">
        <v>1</v>
      </c>
      <c r="J31" s="20">
        <f>+I31*E31*G31</f>
        <v/>
      </c>
      <c r="K31" s="10" t="n"/>
      <c r="L31" s="12" t="inlineStr">
        <is>
          <t>FLANŞ</t>
        </is>
      </c>
    </row>
    <row r="32">
      <c r="B32" s="9">
        <f>+ROW()-5</f>
        <v/>
      </c>
      <c r="C32" s="24" t="inlineStr">
        <is>
          <t>FLANGE BLIND, 300 LB SCH 40, RF, ASME B16.5, ASTM A105, 300</t>
        </is>
      </c>
      <c r="D32" s="10" t="inlineStr">
        <is>
          <t>FAZ1</t>
        </is>
      </c>
      <c r="E32" s="22" t="n">
        <v>4</v>
      </c>
      <c r="F32" s="15" t="inlineStr">
        <is>
          <t>CS</t>
        </is>
      </c>
      <c r="G32" s="11" t="n">
        <v>1</v>
      </c>
      <c r="H32" s="10" t="inlineStr">
        <is>
          <t>ADET</t>
        </is>
      </c>
      <c r="I32" s="10" t="n">
        <v>1</v>
      </c>
      <c r="J32" s="20">
        <f>+I32*E32*G32</f>
        <v/>
      </c>
      <c r="K32" s="10" t="n"/>
      <c r="L32" s="12" t="inlineStr">
        <is>
          <t>FLANŞ</t>
        </is>
      </c>
    </row>
    <row r="33">
      <c r="B33" s="9">
        <f>+ROW()-5</f>
        <v/>
      </c>
      <c r="C33" s="24" t="inlineStr">
        <is>
          <t>FLANGE BLIND, 150 LB, RF, ASME B16.5, ASTM A234 GR WPB, 150</t>
        </is>
      </c>
      <c r="D33" s="10" t="inlineStr">
        <is>
          <t>FAZ1</t>
        </is>
      </c>
      <c r="E33" s="22" t="n">
        <v>6</v>
      </c>
      <c r="F33" s="15" t="inlineStr">
        <is>
          <t>CS</t>
        </is>
      </c>
      <c r="G33" s="11" t="n">
        <v>1</v>
      </c>
      <c r="H33" s="10" t="inlineStr">
        <is>
          <t>ADET</t>
        </is>
      </c>
      <c r="I33" s="10" t="n">
        <v>1</v>
      </c>
      <c r="J33" s="20">
        <f>+I33*E33*G33</f>
        <v/>
      </c>
      <c r="K33" s="10" t="n"/>
      <c r="L33" s="12" t="inlineStr">
        <is>
          <t>FLANŞ</t>
        </is>
      </c>
    </row>
    <row r="34">
      <c r="B34" s="9">
        <f>+ROW()-5</f>
        <v/>
      </c>
      <c r="C34" s="24" t="inlineStr">
        <is>
          <t>FLANGE BLIND, 150 LB, RF, ASTM A 105, ASME B16.5, 150</t>
        </is>
      </c>
      <c r="D34" s="10" t="inlineStr">
        <is>
          <t>FAZ1</t>
        </is>
      </c>
      <c r="E34" s="22" t="n">
        <v>6</v>
      </c>
      <c r="F34" s="15" t="inlineStr">
        <is>
          <t>CS</t>
        </is>
      </c>
      <c r="G34" s="11" t="n">
        <v>1</v>
      </c>
      <c r="H34" s="10" t="inlineStr">
        <is>
          <t>ADET</t>
        </is>
      </c>
      <c r="I34" s="10" t="n">
        <v>1</v>
      </c>
      <c r="J34" s="20">
        <f>+I34*E34*G34</f>
        <v/>
      </c>
      <c r="K34" s="10" t="n"/>
      <c r="L34" s="12" t="inlineStr">
        <is>
          <t>FLANŞ</t>
        </is>
      </c>
    </row>
    <row r="35">
      <c r="B35" s="9">
        <f>+ROW()-5</f>
        <v/>
      </c>
      <c r="C35" s="24" t="inlineStr">
        <is>
          <t>FLANGE BLIND, 150 LB, RF, ASME B16.5, ASTM A234 GR WPB, 150</t>
        </is>
      </c>
      <c r="D35" s="10" t="inlineStr">
        <is>
          <t>FAZ1</t>
        </is>
      </c>
      <c r="E35" s="22" t="n">
        <v>8</v>
      </c>
      <c r="F35" s="15" t="inlineStr">
        <is>
          <t>CS</t>
        </is>
      </c>
      <c r="G35" s="11" t="n">
        <v>2</v>
      </c>
      <c r="H35" s="10" t="inlineStr">
        <is>
          <t>ADET</t>
        </is>
      </c>
      <c r="I35" s="10" t="n">
        <v>1</v>
      </c>
      <c r="J35" s="20">
        <f>+I35*E35*G35</f>
        <v/>
      </c>
      <c r="K35" s="10" t="n"/>
      <c r="L35" s="12" t="inlineStr">
        <is>
          <t>FLANŞ</t>
        </is>
      </c>
    </row>
    <row r="36">
      <c r="B36" s="9">
        <f>+ROW()-5</f>
        <v/>
      </c>
      <c r="C36" s="24" t="inlineStr">
        <is>
          <t>FLANGE BLIND, 300 LB, RF, ASME B16.5, ASTM A105, 300</t>
        </is>
      </c>
      <c r="D36" s="10" t="inlineStr">
        <is>
          <t>FAZ1</t>
        </is>
      </c>
      <c r="E36" s="22" t="n">
        <v>8</v>
      </c>
      <c r="F36" s="15" t="inlineStr">
        <is>
          <t>CS</t>
        </is>
      </c>
      <c r="G36" s="11" t="n">
        <v>2</v>
      </c>
      <c r="H36" s="10" t="inlineStr">
        <is>
          <t>ADET</t>
        </is>
      </c>
      <c r="I36" s="10" t="n">
        <v>1</v>
      </c>
      <c r="J36" s="20">
        <f>+I36*E36*G36</f>
        <v/>
      </c>
      <c r="K36" s="10" t="n"/>
      <c r="L36" s="12" t="inlineStr">
        <is>
          <t>FLANŞ</t>
        </is>
      </c>
    </row>
    <row r="37">
      <c r="B37" s="9">
        <f>+ROW()-5</f>
        <v/>
      </c>
      <c r="C37" s="24" t="inlineStr">
        <is>
          <t>FLANGE, SOCKET WELD, 150 LB, RF, ASTM A 105, ASME B16.5, 150</t>
        </is>
      </c>
      <c r="D37" s="10" t="inlineStr">
        <is>
          <t>FAZ1</t>
        </is>
      </c>
      <c r="E37" s="21" t="n">
        <v>1.5</v>
      </c>
      <c r="F37" s="15" t="inlineStr">
        <is>
          <t>CS</t>
        </is>
      </c>
      <c r="G37" s="11" t="n">
        <v>1</v>
      </c>
      <c r="H37" s="10" t="inlineStr">
        <is>
          <t>ADET</t>
        </is>
      </c>
      <c r="I37" s="10" t="n">
        <v>1</v>
      </c>
      <c r="J37" s="20">
        <f>+ROUNDUP(I37*E37*G37,0)</f>
        <v/>
      </c>
      <c r="K37" s="10" t="n"/>
      <c r="L37" s="12" t="inlineStr">
        <is>
          <t>FLANŞ</t>
        </is>
      </c>
    </row>
    <row r="38">
      <c r="B38" s="9">
        <f>+ROW()-5</f>
        <v/>
      </c>
      <c r="C38" s="24" t="inlineStr">
        <is>
          <t>FLANGE, SOCKET WELD, ASME B16.5, 150LB, RF, ASTM A105, ASME B16.5, 150</t>
        </is>
      </c>
      <c r="D38" s="10" t="inlineStr">
        <is>
          <t>FAZ1</t>
        </is>
      </c>
      <c r="E38" s="18" t="n">
        <v>1.25</v>
      </c>
      <c r="F38" s="15" t="inlineStr">
        <is>
          <t>CS</t>
        </is>
      </c>
      <c r="G38" s="11" t="n">
        <v>1</v>
      </c>
      <c r="H38" s="10" t="inlineStr">
        <is>
          <t>ADET</t>
        </is>
      </c>
      <c r="I38" s="10" t="n">
        <v>1</v>
      </c>
      <c r="J38" s="20">
        <f>+ROUNDUP(I38*E38*G38,0)</f>
        <v/>
      </c>
      <c r="K38" s="10" t="n"/>
      <c r="L38" s="12" t="inlineStr">
        <is>
          <t>FLANŞ</t>
        </is>
      </c>
    </row>
    <row r="39">
      <c r="B39" s="9">
        <f>+ROW()-5</f>
        <v/>
      </c>
      <c r="C39" s="24" t="inlineStr">
        <is>
          <t>FLANGE, SOCKET WELD, ASME B16.5, 150LB, RF, ASTM A105, ASME B16.5, 150</t>
        </is>
      </c>
      <c r="D39" s="10" t="inlineStr">
        <is>
          <t>FAZ1</t>
        </is>
      </c>
      <c r="E39" s="22" t="n">
        <v>2</v>
      </c>
      <c r="F39" s="15" t="inlineStr">
        <is>
          <t>CS</t>
        </is>
      </c>
      <c r="G39" s="11" t="n">
        <v>1</v>
      </c>
      <c r="H39" s="10" t="inlineStr">
        <is>
          <t>ADET</t>
        </is>
      </c>
      <c r="I39" s="10" t="n">
        <v>1</v>
      </c>
      <c r="J39" s="20">
        <f>+I39*E39*G39</f>
        <v/>
      </c>
      <c r="K39" s="10" t="n"/>
      <c r="L39" s="12" t="inlineStr">
        <is>
          <t>FLANŞ</t>
        </is>
      </c>
    </row>
    <row r="40">
      <c r="B40" s="9">
        <f>+ROW()-5</f>
        <v/>
      </c>
      <c r="C40" s="24" t="inlineStr">
        <is>
          <t>FLANGE, WELDING NECK, 150 LB SCH 40, RF, ASTM A 105, ASME B16.5, 150</t>
        </is>
      </c>
      <c r="D40" s="10" t="inlineStr">
        <is>
          <t>FAZ1</t>
        </is>
      </c>
      <c r="E40" s="22" t="n">
        <v>12</v>
      </c>
      <c r="F40" s="15" t="inlineStr">
        <is>
          <t>CS</t>
        </is>
      </c>
      <c r="G40" s="11" t="n">
        <v>23</v>
      </c>
      <c r="H40" s="10" t="inlineStr">
        <is>
          <t>ADET</t>
        </is>
      </c>
      <c r="I40" s="10" t="n">
        <v>1</v>
      </c>
      <c r="J40" s="20">
        <f>+I40*E40*G40</f>
        <v/>
      </c>
      <c r="K40" s="10" t="n"/>
      <c r="L40" s="12" t="inlineStr">
        <is>
          <t>FLANŞ</t>
        </is>
      </c>
    </row>
    <row r="41">
      <c r="B41" s="9">
        <f>+ROW()-5</f>
        <v/>
      </c>
      <c r="C41" s="24" t="inlineStr">
        <is>
          <t>FLANGE, WELDING NECK, ASME B16.5, 150LB SCH20, RF, ASTM A 105, ASME B16.5, 150</t>
        </is>
      </c>
      <c r="D41" s="10" t="inlineStr">
        <is>
          <t>FAZ1</t>
        </is>
      </c>
      <c r="E41" s="22" t="n">
        <v>12</v>
      </c>
      <c r="F41" s="15" t="inlineStr">
        <is>
          <t>CS</t>
        </is>
      </c>
      <c r="G41" s="11" t="n">
        <v>12</v>
      </c>
      <c r="H41" s="10" t="inlineStr">
        <is>
          <t>ADET</t>
        </is>
      </c>
      <c r="I41" s="10" t="n">
        <v>1</v>
      </c>
      <c r="J41" s="20">
        <f>+I41*E41*G41</f>
        <v/>
      </c>
      <c r="K41" s="10" t="n"/>
      <c r="L41" s="12" t="inlineStr">
        <is>
          <t>FLANŞ</t>
        </is>
      </c>
    </row>
    <row r="42" ht="25.5" customHeight="1">
      <c r="B42" s="9">
        <f>+ROW()-5</f>
        <v/>
      </c>
      <c r="C42" s="24" t="inlineStr">
        <is>
          <t>FLANGE, WELDING NECK, 150 LB SCH 40, RF, ASTM A
105, ASME B16.5, 150</t>
        </is>
      </c>
      <c r="D42" s="10" t="inlineStr">
        <is>
          <t>FAZ1</t>
        </is>
      </c>
      <c r="E42" s="21" t="n">
        <v>2.5</v>
      </c>
      <c r="F42" s="15" t="inlineStr">
        <is>
          <t>CS</t>
        </is>
      </c>
      <c r="G42" s="11" t="n">
        <v>2</v>
      </c>
      <c r="H42" s="10" t="inlineStr">
        <is>
          <t>ADET</t>
        </is>
      </c>
      <c r="I42" s="10" t="n">
        <v>1</v>
      </c>
      <c r="J42" s="20">
        <f>+I42*E42*G42</f>
        <v/>
      </c>
      <c r="K42" s="10" t="n"/>
      <c r="L42" s="12" t="inlineStr">
        <is>
          <t>FLANŞ</t>
        </is>
      </c>
    </row>
    <row r="43">
      <c r="B43" s="9">
        <f>+ROW()-5</f>
        <v/>
      </c>
      <c r="C43" s="24" t="inlineStr">
        <is>
          <t>FLANGE, WELDING NECK, ASTM A105, 300LB SCH 80 , RF, ASME B16.5, 300</t>
        </is>
      </c>
      <c r="D43" s="10" t="inlineStr">
        <is>
          <t>FAZ1</t>
        </is>
      </c>
      <c r="E43" s="22" t="n">
        <v>2</v>
      </c>
      <c r="F43" s="15" t="inlineStr">
        <is>
          <t>CS</t>
        </is>
      </c>
      <c r="G43" s="11" t="n">
        <v>2</v>
      </c>
      <c r="H43" s="10" t="inlineStr">
        <is>
          <t>ADET</t>
        </is>
      </c>
      <c r="I43" s="10" t="n">
        <v>1</v>
      </c>
      <c r="J43" s="20">
        <f>+I43*E43*G43</f>
        <v/>
      </c>
      <c r="K43" s="10" t="n"/>
      <c r="L43" s="12" t="inlineStr">
        <is>
          <t>FLANŞ</t>
        </is>
      </c>
    </row>
    <row r="44">
      <c r="B44" s="9">
        <f>+ROW()-5</f>
        <v/>
      </c>
      <c r="C44" s="24" t="inlineStr">
        <is>
          <t>FLANGE, WELDING NECK, ASME B16.5, 150LB SCH40, RF, ASTM A 105, ASME B16.5, 150</t>
        </is>
      </c>
      <c r="D44" s="10" t="inlineStr">
        <is>
          <t>FAZ1</t>
        </is>
      </c>
      <c r="E44" s="22" t="n">
        <v>3</v>
      </c>
      <c r="F44" s="15" t="inlineStr">
        <is>
          <t>CS</t>
        </is>
      </c>
      <c r="G44" s="11" t="n">
        <v>5</v>
      </c>
      <c r="H44" s="10" t="inlineStr">
        <is>
          <t>ADET</t>
        </is>
      </c>
      <c r="I44" s="10" t="n">
        <v>1</v>
      </c>
      <c r="J44" s="20">
        <f>+I44*E44*G44</f>
        <v/>
      </c>
      <c r="K44" s="10" t="n"/>
      <c r="L44" s="12" t="inlineStr">
        <is>
          <t>FLANŞ</t>
        </is>
      </c>
    </row>
    <row r="45">
      <c r="B45" s="9">
        <f>+ROW()-5</f>
        <v/>
      </c>
      <c r="C45" s="24" t="inlineStr">
        <is>
          <t>FLANGE, WELDING NECK, 150 LB SCH 40, RF, ASTM A 105, ASME B16.5, 150</t>
        </is>
      </c>
      <c r="D45" s="10" t="inlineStr">
        <is>
          <t>FAZ1</t>
        </is>
      </c>
      <c r="E45" s="22" t="n">
        <v>4</v>
      </c>
      <c r="F45" s="15" t="inlineStr">
        <is>
          <t>CS</t>
        </is>
      </c>
      <c r="G45" s="11" t="n">
        <v>6</v>
      </c>
      <c r="H45" s="10" t="inlineStr">
        <is>
          <t>ADET</t>
        </is>
      </c>
      <c r="I45" s="10" t="n">
        <v>1</v>
      </c>
      <c r="J45" s="20">
        <f>+I45*E45*G45</f>
        <v/>
      </c>
      <c r="K45" s="10" t="n"/>
      <c r="L45" s="12" t="inlineStr">
        <is>
          <t>FLANŞ</t>
        </is>
      </c>
    </row>
    <row r="46" ht="25.5" customHeight="1">
      <c r="B46" s="9">
        <f>+ROW()-5</f>
        <v/>
      </c>
      <c r="C46" s="24" t="inlineStr">
        <is>
          <t>FLANGE, WELDING NECK, 150 LB SCH 40, RF, ASTM A
105, ASME B16.5, 150</t>
        </is>
      </c>
      <c r="D46" s="10" t="inlineStr">
        <is>
          <t>FAZ1</t>
        </is>
      </c>
      <c r="E46" s="22" t="n">
        <v>4</v>
      </c>
      <c r="F46" s="15" t="inlineStr">
        <is>
          <t>CS</t>
        </is>
      </c>
      <c r="G46" s="11" t="n">
        <v>3</v>
      </c>
      <c r="H46" s="10" t="inlineStr">
        <is>
          <t>ADET</t>
        </is>
      </c>
      <c r="I46" s="10" t="n">
        <v>1</v>
      </c>
      <c r="J46" s="20">
        <f>+I46*E46*G46</f>
        <v/>
      </c>
      <c r="K46" s="10" t="n"/>
      <c r="L46" s="12" t="inlineStr">
        <is>
          <t>FLANŞ</t>
        </is>
      </c>
    </row>
    <row r="47">
      <c r="B47" s="9">
        <f>+ROW()-5</f>
        <v/>
      </c>
      <c r="C47" s="24" t="inlineStr">
        <is>
          <t>FLANGE, WELDING NECK, ASME B16.5, 150LB SCH20, RF, ASTM A 105, ASME B16.5, 150</t>
        </is>
      </c>
      <c r="D47" s="10" t="inlineStr">
        <is>
          <t>FAZ1</t>
        </is>
      </c>
      <c r="E47" s="22" t="n">
        <v>4</v>
      </c>
      <c r="F47" s="15" t="inlineStr">
        <is>
          <t>CS</t>
        </is>
      </c>
      <c r="G47" s="11" t="n">
        <v>3</v>
      </c>
      <c r="H47" s="10" t="inlineStr">
        <is>
          <t>ADET</t>
        </is>
      </c>
      <c r="I47" s="10" t="n">
        <v>1</v>
      </c>
      <c r="J47" s="20">
        <f>+I47*E47*G47</f>
        <v/>
      </c>
      <c r="K47" s="10" t="n"/>
      <c r="L47" s="12" t="inlineStr">
        <is>
          <t>FLANŞ</t>
        </is>
      </c>
    </row>
    <row r="48">
      <c r="B48" s="9">
        <f>+ROW()-5</f>
        <v/>
      </c>
      <c r="C48" s="25" t="inlineStr">
        <is>
          <t>FLANGE, WELDING NECK, ASME B16.5, 150LB SCH40, RF, ASTM A 105, ASME B16.5, 150</t>
        </is>
      </c>
      <c r="D48" s="10" t="inlineStr">
        <is>
          <t>FAZ1</t>
        </is>
      </c>
      <c r="E48" s="22" t="n">
        <v>4</v>
      </c>
      <c r="F48" s="15" t="inlineStr">
        <is>
          <t>CS</t>
        </is>
      </c>
      <c r="G48" s="11" t="n">
        <v>5</v>
      </c>
      <c r="H48" s="10" t="inlineStr">
        <is>
          <t>ADET</t>
        </is>
      </c>
      <c r="I48" s="10" t="n">
        <v>1</v>
      </c>
      <c r="J48" s="20">
        <f>+I48*E48*G48</f>
        <v/>
      </c>
      <c r="K48" s="10" t="n"/>
      <c r="L48" s="12" t="inlineStr">
        <is>
          <t>FLANŞ</t>
        </is>
      </c>
    </row>
    <row r="49">
      <c r="B49" s="9">
        <f>+ROW()-5</f>
        <v/>
      </c>
      <c r="C49" s="24" t="inlineStr">
        <is>
          <t>FLANGE, WELDING NECK, ASTM A105, 300LB SCH 40 , RF, ASME B16.5, 300</t>
        </is>
      </c>
      <c r="D49" s="10" t="inlineStr">
        <is>
          <t>FAZ1</t>
        </is>
      </c>
      <c r="E49" s="22" t="n">
        <v>4</v>
      </c>
      <c r="F49" s="15" t="inlineStr">
        <is>
          <t>CS</t>
        </is>
      </c>
      <c r="G49" s="11" t="n">
        <v>11</v>
      </c>
      <c r="H49" s="10" t="inlineStr">
        <is>
          <t>ADET</t>
        </is>
      </c>
      <c r="I49" s="10" t="n">
        <v>1</v>
      </c>
      <c r="J49" s="20">
        <f>+I49*E49*G49</f>
        <v/>
      </c>
      <c r="K49" s="10" t="n"/>
      <c r="L49" s="12" t="inlineStr">
        <is>
          <t>FLANŞ</t>
        </is>
      </c>
    </row>
    <row r="50">
      <c r="B50" s="9">
        <f>+ROW()-5</f>
        <v/>
      </c>
      <c r="C50" s="24" t="inlineStr">
        <is>
          <t>FLANGE, WELDING NECK, 150 LB SCH 40, RF, ASTM A 105, ASME B16.5, 150</t>
        </is>
      </c>
      <c r="D50" s="10" t="inlineStr">
        <is>
          <t>FAZ1</t>
        </is>
      </c>
      <c r="E50" s="22" t="n">
        <v>6</v>
      </c>
      <c r="F50" s="15" t="inlineStr">
        <is>
          <t>CS</t>
        </is>
      </c>
      <c r="G50" s="11" t="n">
        <v>9</v>
      </c>
      <c r="H50" s="10" t="inlineStr">
        <is>
          <t>ADET</t>
        </is>
      </c>
      <c r="I50" s="10" t="n">
        <v>1</v>
      </c>
      <c r="J50" s="20">
        <f>+I50*E50*G50</f>
        <v/>
      </c>
      <c r="K50" s="10" t="n"/>
      <c r="L50" s="12" t="inlineStr">
        <is>
          <t>FLANŞ</t>
        </is>
      </c>
    </row>
    <row r="51" ht="25.5" customHeight="1">
      <c r="B51" s="9">
        <f>+ROW()-5</f>
        <v/>
      </c>
      <c r="C51" s="25" t="inlineStr">
        <is>
          <t>FLANGE, WELDING NECK, 150 LB SCH 40, RF, ASTM A
105, ASME B16.5, 150</t>
        </is>
      </c>
      <c r="D51" s="10" t="inlineStr">
        <is>
          <t>FAZ1</t>
        </is>
      </c>
      <c r="E51" s="22" t="n">
        <v>6</v>
      </c>
      <c r="F51" s="15" t="inlineStr">
        <is>
          <t>CS</t>
        </is>
      </c>
      <c r="G51" s="11" t="n">
        <v>2</v>
      </c>
      <c r="H51" s="10" t="inlineStr">
        <is>
          <t>ADET</t>
        </is>
      </c>
      <c r="I51" s="10" t="n">
        <v>1</v>
      </c>
      <c r="J51" s="20">
        <f>+I51*E51*G51</f>
        <v/>
      </c>
      <c r="K51" s="10" t="n"/>
      <c r="L51" s="12" t="inlineStr">
        <is>
          <t>FLANŞ</t>
        </is>
      </c>
    </row>
    <row r="52">
      <c r="B52" s="9">
        <f>+ROW()-5</f>
        <v/>
      </c>
      <c r="C52" s="25" t="inlineStr">
        <is>
          <t>FLANGE, WELDING NECK, ASME B16.5, 150LB SCH40, RF, ASTM A 105, ASME B16.5, 150</t>
        </is>
      </c>
      <c r="D52" s="10" t="inlineStr">
        <is>
          <t>FAZ1</t>
        </is>
      </c>
      <c r="E52" s="22" t="n">
        <v>6</v>
      </c>
      <c r="F52" s="15" t="inlineStr">
        <is>
          <t>CS</t>
        </is>
      </c>
      <c r="G52" s="11" t="n">
        <v>7</v>
      </c>
      <c r="H52" s="10" t="inlineStr">
        <is>
          <t>ADET</t>
        </is>
      </c>
      <c r="I52" s="10" t="n">
        <v>1</v>
      </c>
      <c r="J52" s="20">
        <f>+I52*E52*G52</f>
        <v/>
      </c>
      <c r="K52" s="10" t="n"/>
      <c r="L52" s="12" t="inlineStr">
        <is>
          <t>FLANŞ</t>
        </is>
      </c>
    </row>
    <row r="53">
      <c r="B53" s="9">
        <f>+ROW()-5</f>
        <v/>
      </c>
      <c r="C53" s="25" t="inlineStr">
        <is>
          <t>FLANGE, WELDING NECK, 150 LB SCH 40, RF, ASTM A 105, ASME B16.5, 150</t>
        </is>
      </c>
      <c r="D53" s="10" t="inlineStr">
        <is>
          <t>FAZ1</t>
        </is>
      </c>
      <c r="E53" s="22" t="n">
        <v>8</v>
      </c>
      <c r="F53" s="15" t="inlineStr">
        <is>
          <t>CS</t>
        </is>
      </c>
      <c r="G53" s="11" t="n">
        <v>2</v>
      </c>
      <c r="H53" s="10" t="inlineStr">
        <is>
          <t>ADET</t>
        </is>
      </c>
      <c r="I53" s="10" t="n">
        <v>1</v>
      </c>
      <c r="J53" s="20">
        <f>+I53*E53*G53</f>
        <v/>
      </c>
      <c r="K53" s="10" t="n"/>
      <c r="L53" s="12" t="inlineStr">
        <is>
          <t>FLANŞ</t>
        </is>
      </c>
    </row>
    <row r="54">
      <c r="B54" s="9">
        <f>+ROW()-5</f>
        <v/>
      </c>
      <c r="C54" s="25" t="inlineStr">
        <is>
          <t>FLANGE, WELDING NECK, ASME B16.5, 150LB SCH20, RF, ASTM A 105, ASME B16.5, 150</t>
        </is>
      </c>
      <c r="D54" s="10" t="inlineStr">
        <is>
          <t>FAZ1</t>
        </is>
      </c>
      <c r="E54" s="22" t="n">
        <v>8</v>
      </c>
      <c r="F54" s="15" t="inlineStr">
        <is>
          <t>CS</t>
        </is>
      </c>
      <c r="G54" s="11" t="n">
        <v>4</v>
      </c>
      <c r="H54" s="10" t="inlineStr">
        <is>
          <t>ADET</t>
        </is>
      </c>
      <c r="I54" s="10" t="n">
        <v>1</v>
      </c>
      <c r="J54" s="20">
        <f>+I54*E54*G54</f>
        <v/>
      </c>
      <c r="K54" s="10" t="n"/>
      <c r="L54" s="12" t="inlineStr">
        <is>
          <t>FLANŞ</t>
        </is>
      </c>
    </row>
    <row r="55">
      <c r="B55" s="9">
        <f>+ROW()-5</f>
        <v/>
      </c>
      <c r="C55" s="24" t="inlineStr">
        <is>
          <t>FLANGE, WELDING NECK, ASTM A105, 300LB SCH 40 , RF, ASME B16.5, 300</t>
        </is>
      </c>
      <c r="D55" s="10" t="inlineStr">
        <is>
          <t>FAZ1</t>
        </is>
      </c>
      <c r="E55" s="22" t="n">
        <v>8</v>
      </c>
      <c r="F55" s="15" t="inlineStr">
        <is>
          <t>CS</t>
        </is>
      </c>
      <c r="G55" s="11" t="n">
        <v>2</v>
      </c>
      <c r="H55" s="10" t="inlineStr">
        <is>
          <t>ADET</t>
        </is>
      </c>
      <c r="I55" s="10" t="n">
        <v>1</v>
      </c>
      <c r="J55" s="20">
        <f>+I55*E55*G55</f>
        <v/>
      </c>
      <c r="K55" s="10" t="n"/>
      <c r="L55" s="12" t="inlineStr">
        <is>
          <t>FLANŞ</t>
        </is>
      </c>
    </row>
    <row r="56" ht="25.5" customHeight="1">
      <c r="B56" s="9">
        <f>+ROW()-5</f>
        <v/>
      </c>
      <c r="C56" s="24" t="inlineStr">
        <is>
          <t>SPIRAL WOUND GASKET, 304 / GRAPHITE \U+2013 CS, CENTERING RING, 4.5 MM, 150LB, RF , ASME B16.20, 150</t>
        </is>
      </c>
      <c r="D56" s="10" t="inlineStr">
        <is>
          <t>FAZ1</t>
        </is>
      </c>
      <c r="E56" s="21" t="n">
        <v>1.5</v>
      </c>
      <c r="F56" s="15" t="inlineStr">
        <is>
          <t>CS</t>
        </is>
      </c>
      <c r="G56" s="11" t="n">
        <v>1</v>
      </c>
      <c r="H56" s="10" t="inlineStr">
        <is>
          <t>ADET</t>
        </is>
      </c>
      <c r="I56" s="10" t="inlineStr">
        <is>
          <t>-</t>
        </is>
      </c>
      <c r="J56" s="10" t="inlineStr">
        <is>
          <t>-</t>
        </is>
      </c>
      <c r="K56" s="10" t="n"/>
      <c r="L56" s="12" t="inlineStr">
        <is>
          <t>BOLT &amp; GASKET</t>
        </is>
      </c>
    </row>
    <row r="57" ht="25.5" customHeight="1">
      <c r="B57" s="9">
        <f>+ROW()-5</f>
        <v/>
      </c>
      <c r="C57" s="24" t="inlineStr">
        <is>
          <t>SPIRAL WOUND GASKET, 304 / GRAPHITE \U+2013 CS, CENTERING RING, 4.5 MM, 150LB, RF , ASME B16.20, 150</t>
        </is>
      </c>
      <c r="D57" s="10" t="inlineStr">
        <is>
          <t>FAZ1</t>
        </is>
      </c>
      <c r="E57" s="18" t="n">
        <v>1.25</v>
      </c>
      <c r="F57" s="15" t="inlineStr">
        <is>
          <t>CS</t>
        </is>
      </c>
      <c r="G57" s="11" t="n">
        <v>1</v>
      </c>
      <c r="H57" s="10" t="inlineStr">
        <is>
          <t>ADET</t>
        </is>
      </c>
      <c r="I57" s="10" t="inlineStr">
        <is>
          <t>-</t>
        </is>
      </c>
      <c r="J57" s="10" t="inlineStr">
        <is>
          <t>-</t>
        </is>
      </c>
      <c r="K57" s="10" t="n"/>
      <c r="L57" s="12" t="inlineStr">
        <is>
          <t>BOLT &amp; GASKET</t>
        </is>
      </c>
    </row>
    <row r="58" ht="25.5" customHeight="1">
      <c r="B58" s="9">
        <f>+ROW()-5</f>
        <v/>
      </c>
      <c r="C58" s="24" t="inlineStr">
        <is>
          <t>SPIRAL WOUND GASKET, 304 / GRAPHITE \U+2013 CS, CENTERING RING, 4.5 MM, 150LB, RF , ASME B16.20, 150</t>
        </is>
      </c>
      <c r="D58" s="10" t="inlineStr">
        <is>
          <t>FAZ1</t>
        </is>
      </c>
      <c r="E58" s="22" t="n">
        <v>12</v>
      </c>
      <c r="F58" s="15" t="inlineStr">
        <is>
          <t>CS</t>
        </is>
      </c>
      <c r="G58" s="11" t="n">
        <v>52</v>
      </c>
      <c r="H58" s="10" t="inlineStr">
        <is>
          <t>ADET</t>
        </is>
      </c>
      <c r="I58" s="10" t="inlineStr">
        <is>
          <t>-</t>
        </is>
      </c>
      <c r="J58" s="10" t="inlineStr">
        <is>
          <t>-</t>
        </is>
      </c>
      <c r="K58" s="10" t="n"/>
      <c r="L58" s="12" t="inlineStr">
        <is>
          <t>BOLT &amp; GASKET</t>
        </is>
      </c>
    </row>
    <row r="59" ht="25.5" customHeight="1">
      <c r="B59" s="9">
        <f>+ROW()-5</f>
        <v/>
      </c>
      <c r="C59" s="24" t="inlineStr">
        <is>
          <t>SPIRAL WOUND GASKET, 304 / GRAPHITE \U+2013 CS, CENTERING RING, 4.5 MM, 150LB, RF , ASME B16.20, 150</t>
        </is>
      </c>
      <c r="D59" s="10" t="inlineStr">
        <is>
          <t>FAZ1</t>
        </is>
      </c>
      <c r="E59" s="21" t="n">
        <v>2.5</v>
      </c>
      <c r="F59" s="15" t="inlineStr">
        <is>
          <t>CS</t>
        </is>
      </c>
      <c r="G59" s="11" t="n">
        <v>4</v>
      </c>
      <c r="H59" s="10" t="inlineStr">
        <is>
          <t>ADET</t>
        </is>
      </c>
      <c r="I59" s="10" t="inlineStr">
        <is>
          <t>-</t>
        </is>
      </c>
      <c r="J59" s="10" t="inlineStr">
        <is>
          <t>-</t>
        </is>
      </c>
      <c r="K59" s="10" t="n"/>
      <c r="L59" s="12" t="inlineStr">
        <is>
          <t>BOLT &amp; GASKET</t>
        </is>
      </c>
    </row>
    <row r="60" ht="25.5" customHeight="1">
      <c r="B60" s="9">
        <f>+ROW()-5</f>
        <v/>
      </c>
      <c r="C60" s="24" t="inlineStr">
        <is>
          <t>SPIRAL WOUND GASKET, 304 / GRAPHITE \U+2013 CS, CENTERING RING, 4.5 MM, 150LB, RF , ASME B16.20, 150</t>
        </is>
      </c>
      <c r="D60" s="10" t="inlineStr">
        <is>
          <t>FAZ1</t>
        </is>
      </c>
      <c r="E60" s="22" t="n">
        <v>2</v>
      </c>
      <c r="F60" s="15" t="inlineStr">
        <is>
          <t>CS</t>
        </is>
      </c>
      <c r="G60" s="11" t="n">
        <v>1</v>
      </c>
      <c r="H60" s="10" t="inlineStr">
        <is>
          <t>ADET</t>
        </is>
      </c>
      <c r="I60" s="10" t="inlineStr">
        <is>
          <t>-</t>
        </is>
      </c>
      <c r="J60" s="10" t="inlineStr">
        <is>
          <t>-</t>
        </is>
      </c>
      <c r="K60" s="10" t="n"/>
      <c r="L60" s="12" t="inlineStr">
        <is>
          <t>BOLT &amp; GASKET</t>
        </is>
      </c>
    </row>
    <row r="61" ht="25.5" customHeight="1">
      <c r="B61" s="9">
        <f>+ROW()-5</f>
        <v/>
      </c>
      <c r="C61" s="24" t="inlineStr">
        <is>
          <t>SPIRAL WOUND GASKET, 304 / GRAPHITE \U+2013 CS, CENTERING RING, 4.5 MM, 150LB, RF , ASME B16.20, 300</t>
        </is>
      </c>
      <c r="D61" s="10" t="inlineStr">
        <is>
          <t>FAZ1</t>
        </is>
      </c>
      <c r="E61" s="22" t="n">
        <v>2</v>
      </c>
      <c r="F61" s="15" t="inlineStr">
        <is>
          <t>CS</t>
        </is>
      </c>
      <c r="G61" s="11" t="n">
        <v>2</v>
      </c>
      <c r="H61" s="10" t="inlineStr">
        <is>
          <t>ADET</t>
        </is>
      </c>
      <c r="I61" s="10" t="inlineStr">
        <is>
          <t>-</t>
        </is>
      </c>
      <c r="J61" s="10" t="inlineStr">
        <is>
          <t>-</t>
        </is>
      </c>
      <c r="K61" s="10" t="n"/>
      <c r="L61" s="12" t="inlineStr">
        <is>
          <t>BOLT &amp; GASKET</t>
        </is>
      </c>
    </row>
    <row r="62" ht="25.5" customHeight="1">
      <c r="B62" s="9">
        <f>+ROW()-5</f>
        <v/>
      </c>
      <c r="C62" s="24" t="inlineStr">
        <is>
          <t>SPIRAL WOUND GASKET, 304 / GRAPHITE \U+2013 CS, CENTERING RING, 4.5 MM, 150LB, RF , ASME B16.20, 150</t>
        </is>
      </c>
      <c r="D62" s="10" t="inlineStr">
        <is>
          <t>FAZ1</t>
        </is>
      </c>
      <c r="E62" s="22" t="n">
        <v>3</v>
      </c>
      <c r="F62" s="15" t="inlineStr">
        <is>
          <t>CS</t>
        </is>
      </c>
      <c r="G62" s="11" t="n">
        <v>6</v>
      </c>
      <c r="H62" s="10" t="inlineStr">
        <is>
          <t>ADET</t>
        </is>
      </c>
      <c r="I62" s="10" t="inlineStr">
        <is>
          <t>-</t>
        </is>
      </c>
      <c r="J62" s="10" t="inlineStr">
        <is>
          <t>-</t>
        </is>
      </c>
      <c r="K62" s="10" t="n"/>
      <c r="L62" s="12" t="inlineStr">
        <is>
          <t>BOLT &amp; GASKET</t>
        </is>
      </c>
    </row>
    <row r="63" ht="25.5" customHeight="1">
      <c r="B63" s="9">
        <f>+ROW()-5</f>
        <v/>
      </c>
      <c r="C63" s="24" t="inlineStr">
        <is>
          <t>SPIRAL WOUND GASKET, 304 / GRAPHITE \U+2013 CS, CENTERING RING, 4.5 MM, 150LB, RF , ASME B16.20, 150</t>
        </is>
      </c>
      <c r="D63" s="10" t="inlineStr">
        <is>
          <t>FAZ1</t>
        </is>
      </c>
      <c r="E63" s="22" t="n">
        <v>4</v>
      </c>
      <c r="F63" s="15" t="inlineStr">
        <is>
          <t>CS</t>
        </is>
      </c>
      <c r="G63" s="11" t="n">
        <v>19</v>
      </c>
      <c r="H63" s="10" t="inlineStr">
        <is>
          <t>ADET</t>
        </is>
      </c>
      <c r="I63" s="10" t="inlineStr">
        <is>
          <t>-</t>
        </is>
      </c>
      <c r="J63" s="10" t="inlineStr">
        <is>
          <t>-</t>
        </is>
      </c>
      <c r="K63" s="10" t="n"/>
      <c r="L63" s="12" t="inlineStr">
        <is>
          <t>BOLT &amp; GASKET</t>
        </is>
      </c>
    </row>
    <row r="64" ht="25.5" customHeight="1">
      <c r="B64" s="9">
        <f>+ROW()-5</f>
        <v/>
      </c>
      <c r="C64" s="25" t="inlineStr">
        <is>
          <t>SPIRAL WOUND GASKET, 304 / GRAPHITE \U+2013 CS, CENTERING RING, 4.5 MM, 150LB, RF , ASME B16.20, 300</t>
        </is>
      </c>
      <c r="D64" s="10" t="inlineStr">
        <is>
          <t>FAZ1</t>
        </is>
      </c>
      <c r="E64" s="22" t="n">
        <v>4</v>
      </c>
      <c r="F64" s="15" t="inlineStr">
        <is>
          <t>CS</t>
        </is>
      </c>
      <c r="G64" s="11" t="n">
        <v>11</v>
      </c>
      <c r="H64" s="10" t="inlineStr">
        <is>
          <t>ADET</t>
        </is>
      </c>
      <c r="I64" s="10" t="inlineStr">
        <is>
          <t>-</t>
        </is>
      </c>
      <c r="J64" s="10" t="inlineStr">
        <is>
          <t>-</t>
        </is>
      </c>
      <c r="K64" s="10" t="n"/>
      <c r="L64" s="12" t="inlineStr">
        <is>
          <t>BOLT &amp; GASKET</t>
        </is>
      </c>
    </row>
    <row r="65" ht="25.5" customHeight="1">
      <c r="B65" s="9">
        <f>+ROW()-5</f>
        <v/>
      </c>
      <c r="C65" s="24" t="inlineStr">
        <is>
          <t>SPIRAL WOUND GASKET, 304 / GRAPHITE \U+2013 CS, CENTERING RING, 4.5 MM, 150LB, RF , ASME B16.20, 150</t>
        </is>
      </c>
      <c r="D65" s="10" t="inlineStr">
        <is>
          <t>FAZ1</t>
        </is>
      </c>
      <c r="E65" s="22" t="n">
        <v>6</v>
      </c>
      <c r="F65" s="15" t="inlineStr">
        <is>
          <t>CS</t>
        </is>
      </c>
      <c r="G65" s="11" t="n">
        <v>22</v>
      </c>
      <c r="H65" s="10" t="inlineStr">
        <is>
          <t>ADET</t>
        </is>
      </c>
      <c r="I65" s="10" t="inlineStr">
        <is>
          <t>-</t>
        </is>
      </c>
      <c r="J65" s="10" t="inlineStr">
        <is>
          <t>-</t>
        </is>
      </c>
      <c r="K65" s="10" t="n"/>
      <c r="L65" s="12" t="inlineStr">
        <is>
          <t>BOLT &amp; GASKET</t>
        </is>
      </c>
    </row>
    <row r="66" ht="25.5" customHeight="1">
      <c r="B66" s="9">
        <f>+ROW()-5</f>
        <v/>
      </c>
      <c r="C66" s="24" t="inlineStr">
        <is>
          <t>SPIRAL WOUND GASKET, 304 / GRAPHITE \U+2013 CS, CENTERING RING, 4.5 MM, 150LB, RF , ASME B16.20, 150</t>
        </is>
      </c>
      <c r="D66" s="10" t="inlineStr">
        <is>
          <t>FAZ1</t>
        </is>
      </c>
      <c r="E66" s="22" t="n">
        <v>8</v>
      </c>
      <c r="F66" s="15" t="inlineStr">
        <is>
          <t>CS</t>
        </is>
      </c>
      <c r="G66" s="11" t="n">
        <v>10</v>
      </c>
      <c r="H66" s="10" t="inlineStr">
        <is>
          <t>ADET</t>
        </is>
      </c>
      <c r="I66" s="10" t="inlineStr">
        <is>
          <t>-</t>
        </is>
      </c>
      <c r="J66" s="10" t="inlineStr">
        <is>
          <t>-</t>
        </is>
      </c>
      <c r="K66" s="10" t="n"/>
      <c r="L66" s="12" t="inlineStr">
        <is>
          <t>BOLT &amp; GASKET</t>
        </is>
      </c>
    </row>
    <row r="67" ht="25.5" customHeight="1">
      <c r="B67" s="9">
        <f>+ROW()-5</f>
        <v/>
      </c>
      <c r="C67" s="25" t="inlineStr">
        <is>
          <t>SPIRAL WOUND GASKET, 304 / GRAPHITE \U+2013 CS, CENTERING RING, 4.5 MM, 150LB, RF , ASME B16.20, 300</t>
        </is>
      </c>
      <c r="D67" s="10" t="inlineStr">
        <is>
          <t>FAZ1</t>
        </is>
      </c>
      <c r="E67" s="22" t="n">
        <v>8</v>
      </c>
      <c r="F67" s="15" t="inlineStr">
        <is>
          <t>CS</t>
        </is>
      </c>
      <c r="G67" s="11" t="n">
        <v>2</v>
      </c>
      <c r="H67" s="10" t="inlineStr">
        <is>
          <t>ADET</t>
        </is>
      </c>
      <c r="I67" s="10" t="inlineStr">
        <is>
          <t>-</t>
        </is>
      </c>
      <c r="J67" s="10" t="inlineStr">
        <is>
          <t>-</t>
        </is>
      </c>
      <c r="K67" s="10" t="n"/>
      <c r="L67" s="12" t="inlineStr">
        <is>
          <t>BOLT &amp; GASKET</t>
        </is>
      </c>
    </row>
    <row r="68">
      <c r="B68" s="9">
        <f>+ROW()-5</f>
        <v/>
      </c>
      <c r="C68" s="24" t="inlineStr">
        <is>
          <t>NIPPLE, ASTM A106 GRB OR A53 GRB, SAME AS PIPE, TOE (PEXTHD), L=100MM, ASME B36.10, 80</t>
        </is>
      </c>
      <c r="D68" s="10" t="inlineStr">
        <is>
          <t>FAZ1</t>
        </is>
      </c>
      <c r="E68" s="21" t="n">
        <v>0.5</v>
      </c>
      <c r="F68" s="15" t="inlineStr">
        <is>
          <t>CS</t>
        </is>
      </c>
      <c r="G68" s="11" t="n">
        <v>6</v>
      </c>
      <c r="H68" s="10" t="inlineStr">
        <is>
          <t>ADET</t>
        </is>
      </c>
      <c r="I68" s="10" t="n">
        <v>1</v>
      </c>
      <c r="J68" s="20">
        <f>+I68*G68*E68</f>
        <v/>
      </c>
      <c r="K68" s="10" t="n"/>
      <c r="L68" s="12" t="inlineStr">
        <is>
          <t>FITTING</t>
        </is>
      </c>
    </row>
    <row r="69" ht="25.5" customHeight="1">
      <c r="B69" s="9">
        <f>+ROW()-5</f>
        <v/>
      </c>
      <c r="C69" s="25" t="inlineStr">
        <is>
          <t>NIPPLE, ASTM A106 GRB OR A53 GRB, SAME AS PIPE,_x000D_
TOE (PEXTHD), L=100MM, ASME B36.10, 80</t>
        </is>
      </c>
      <c r="D69" s="10" t="inlineStr">
        <is>
          <t>FAZ1</t>
        </is>
      </c>
      <c r="E69" s="21" t="n">
        <v>0.5</v>
      </c>
      <c r="F69" s="15" t="inlineStr">
        <is>
          <t>CS</t>
        </is>
      </c>
      <c r="G69" s="11" t="n">
        <v>2</v>
      </c>
      <c r="H69" s="10" t="inlineStr">
        <is>
          <t>ADET</t>
        </is>
      </c>
      <c r="I69" s="10" t="n">
        <v>1</v>
      </c>
      <c r="J69" s="20">
        <f>+I69*G69*E69</f>
        <v/>
      </c>
      <c r="K69" s="10" t="n"/>
      <c r="L69" s="12" t="inlineStr">
        <is>
          <t>FITTING</t>
        </is>
      </c>
    </row>
    <row r="70">
      <c r="B70" s="9">
        <f>+ROW()-5</f>
        <v/>
      </c>
      <c r="C70" s="24" t="inlineStr">
        <is>
          <t>NIPPLE, ASTM A53 GRB, SAME AS PIPE, TOE (PEXTHD), L=100MM, ASME B36.10, 160</t>
        </is>
      </c>
      <c r="D70" s="10" t="inlineStr">
        <is>
          <t>FAZ1</t>
        </is>
      </c>
      <c r="E70" s="21" t="n">
        <v>0.5</v>
      </c>
      <c r="F70" s="15" t="inlineStr">
        <is>
          <t>CS</t>
        </is>
      </c>
      <c r="G70" s="11" t="n">
        <v>2</v>
      </c>
      <c r="H70" s="10" t="inlineStr">
        <is>
          <t>ADET</t>
        </is>
      </c>
      <c r="I70" s="10" t="n">
        <v>1</v>
      </c>
      <c r="J70" s="20">
        <f>+I70*G70*E70</f>
        <v/>
      </c>
      <c r="K70" s="10" t="n"/>
      <c r="L70" s="12" t="inlineStr">
        <is>
          <t>FITTING</t>
        </is>
      </c>
    </row>
    <row r="71">
      <c r="B71" s="9">
        <f>+ROW()-5</f>
        <v/>
      </c>
      <c r="C71" s="24" t="inlineStr">
        <is>
          <t>SOCKOLET,  SW, 3000 LB, MSS SP97, ASTM A105, 3000</t>
        </is>
      </c>
      <c r="D71" s="10" t="inlineStr">
        <is>
          <t>FAZ1</t>
        </is>
      </c>
      <c r="E71" s="22" t="inlineStr">
        <is>
          <t>12x2</t>
        </is>
      </c>
      <c r="F71" s="15" t="inlineStr">
        <is>
          <t>CS</t>
        </is>
      </c>
      <c r="G71" s="11" t="n">
        <v>1</v>
      </c>
      <c r="H71" s="10" t="inlineStr">
        <is>
          <t>ADET</t>
        </is>
      </c>
      <c r="I71" s="10" t="n">
        <v>1</v>
      </c>
      <c r="J71" s="20">
        <f>+G71*(12+2)*I71</f>
        <v/>
      </c>
      <c r="K71" s="10" t="n"/>
      <c r="L71" s="12" t="inlineStr">
        <is>
          <t>FITTING</t>
        </is>
      </c>
    </row>
    <row r="72">
      <c r="B72" s="9">
        <f>+ROW()-5</f>
        <v/>
      </c>
      <c r="C72" s="24" t="inlineStr">
        <is>
          <t>SOCKOLET,  SW, 3000 LB, MSS SP97, ASTM A105, 3000</t>
        </is>
      </c>
      <c r="D72" s="10" t="inlineStr">
        <is>
          <t>FAZ1</t>
        </is>
      </c>
      <c r="E72" s="22" t="inlineStr">
        <is>
          <t>12x3/4</t>
        </is>
      </c>
      <c r="F72" s="15" t="inlineStr">
        <is>
          <t>CS</t>
        </is>
      </c>
      <c r="G72" s="11" t="n">
        <v>2</v>
      </c>
      <c r="H72" s="10" t="inlineStr">
        <is>
          <t>ADET</t>
        </is>
      </c>
      <c r="I72" s="10" t="n">
        <v>1</v>
      </c>
      <c r="J72" s="20">
        <f>+G72*ROUNDUP((12+0.75),0)*I72</f>
        <v/>
      </c>
      <c r="K72" s="10" t="n"/>
      <c r="L72" s="12" t="inlineStr">
        <is>
          <t>FITTING</t>
        </is>
      </c>
    </row>
    <row r="73">
      <c r="B73" s="9">
        <f>+ROW()-5</f>
        <v/>
      </c>
      <c r="C73" s="24" t="inlineStr">
        <is>
          <t>SOCKOLET,  SW, 3000 LB, MSS SP97, ASTM A105, 3000</t>
        </is>
      </c>
      <c r="D73" s="10" t="inlineStr">
        <is>
          <t>FAZ1</t>
        </is>
      </c>
      <c r="E73" s="22" t="inlineStr">
        <is>
          <t>3x1/2</t>
        </is>
      </c>
      <c r="F73" s="15" t="inlineStr">
        <is>
          <t>CS</t>
        </is>
      </c>
      <c r="G73" s="11" t="n">
        <v>1</v>
      </c>
      <c r="H73" s="10" t="inlineStr">
        <is>
          <t>ADET</t>
        </is>
      </c>
      <c r="I73" s="10" t="n">
        <v>1</v>
      </c>
      <c r="J73" s="20">
        <f>+G73*ROUNDUP((3+0.5),0)*I73</f>
        <v/>
      </c>
      <c r="K73" s="10" t="n"/>
      <c r="L73" s="12" t="inlineStr">
        <is>
          <t>FITTING</t>
        </is>
      </c>
    </row>
    <row r="74">
      <c r="B74" s="9">
        <f>+ROW()-5</f>
        <v/>
      </c>
      <c r="C74" s="24" t="inlineStr">
        <is>
          <t>SOCKOLET,  SW, 3000 LB, MSS SP97, ASTM A105, 3000</t>
        </is>
      </c>
      <c r="D74" s="10" t="inlineStr">
        <is>
          <t>FAZ1</t>
        </is>
      </c>
      <c r="E74" s="22" t="inlineStr">
        <is>
          <t>3x3/4</t>
        </is>
      </c>
      <c r="F74" s="15" t="inlineStr">
        <is>
          <t>CS</t>
        </is>
      </c>
      <c r="G74" s="11" t="n">
        <v>1</v>
      </c>
      <c r="H74" s="10" t="inlineStr">
        <is>
          <t>ADET</t>
        </is>
      </c>
      <c r="I74" s="10" t="n">
        <v>1</v>
      </c>
      <c r="J74" s="20">
        <f>+G74*ROUNDUP((3+0.75),0)*I74</f>
        <v/>
      </c>
      <c r="K74" s="10" t="n"/>
      <c r="L74" s="12" t="inlineStr">
        <is>
          <t>FITTING</t>
        </is>
      </c>
    </row>
    <row r="75">
      <c r="B75" s="9">
        <f>+ROW()-5</f>
        <v/>
      </c>
      <c r="C75" s="24" t="inlineStr">
        <is>
          <t>SOCKOLET,  SW, 3000 LB, MSS SP97, ASTM A105, 3000</t>
        </is>
      </c>
      <c r="D75" s="10" t="inlineStr">
        <is>
          <t>FAZ1</t>
        </is>
      </c>
      <c r="E75" s="22" t="inlineStr">
        <is>
          <t>4x1/2</t>
        </is>
      </c>
      <c r="F75" s="15" t="inlineStr">
        <is>
          <t>CS</t>
        </is>
      </c>
      <c r="G75" s="11" t="n">
        <v>2</v>
      </c>
      <c r="H75" s="10" t="inlineStr">
        <is>
          <t>ADET</t>
        </is>
      </c>
      <c r="I75" s="10" t="n">
        <v>1</v>
      </c>
      <c r="J75" s="20">
        <f>+G75*ROUNDUP((4+0.5),0)*I75</f>
        <v/>
      </c>
      <c r="K75" s="10" t="n"/>
      <c r="L75" s="12" t="inlineStr">
        <is>
          <t>FITTING</t>
        </is>
      </c>
    </row>
    <row r="76">
      <c r="B76" s="9">
        <f>+ROW()-5</f>
        <v/>
      </c>
      <c r="C76" s="24" t="inlineStr">
        <is>
          <t>SOCKOLET, SW, 6000LB, MSS SP97, ASTM A105, 6000</t>
        </is>
      </c>
      <c r="D76" s="10" t="inlineStr">
        <is>
          <t>FAZ1</t>
        </is>
      </c>
      <c r="E76" s="22" t="inlineStr">
        <is>
          <t>4x1/2</t>
        </is>
      </c>
      <c r="F76" s="15" t="inlineStr">
        <is>
          <t>CS</t>
        </is>
      </c>
      <c r="G76" s="11" t="n">
        <v>2</v>
      </c>
      <c r="H76" s="10" t="inlineStr">
        <is>
          <t>ADET</t>
        </is>
      </c>
      <c r="I76" s="10" t="n">
        <v>1</v>
      </c>
      <c r="J76" s="20">
        <f>+G76*ROUNDUP((4+0.5),0)*I76</f>
        <v/>
      </c>
      <c r="K76" s="10" t="n"/>
      <c r="L76" s="12" t="inlineStr">
        <is>
          <t>FITTING</t>
        </is>
      </c>
    </row>
    <row r="77">
      <c r="B77" s="9">
        <f>+ROW()-5</f>
        <v/>
      </c>
      <c r="C77" s="24" t="inlineStr">
        <is>
          <t>SOCKOLET,  SW, 3000 LB, MSS SP97, ASTM A105, 3000</t>
        </is>
      </c>
      <c r="D77" s="10" t="inlineStr">
        <is>
          <t>FAZ1</t>
        </is>
      </c>
      <c r="E77" s="22" t="inlineStr">
        <is>
          <t>4x3/4</t>
        </is>
      </c>
      <c r="F77" s="15" t="inlineStr">
        <is>
          <t>CS</t>
        </is>
      </c>
      <c r="G77" s="11" t="n">
        <v>2</v>
      </c>
      <c r="H77" s="10" t="inlineStr">
        <is>
          <t>ADET</t>
        </is>
      </c>
      <c r="I77" s="10" t="n">
        <v>1</v>
      </c>
      <c r="J77" s="20">
        <f>+G77*ROUNDUP((4+0.75),0)*I77</f>
        <v/>
      </c>
      <c r="K77" s="10" t="n"/>
      <c r="L77" s="12" t="inlineStr">
        <is>
          <t>FITTING</t>
        </is>
      </c>
    </row>
    <row r="78">
      <c r="B78" s="9">
        <f>+ROW()-5</f>
        <v/>
      </c>
      <c r="C78" s="24" t="inlineStr">
        <is>
          <t>SOCKOLET, SW, 6000LB, MSS SP97, ASTM A105, 6000</t>
        </is>
      </c>
      <c r="D78" s="10" t="inlineStr">
        <is>
          <t>FAZ1</t>
        </is>
      </c>
      <c r="E78" s="22" t="inlineStr">
        <is>
          <t>4x3/4</t>
        </is>
      </c>
      <c r="F78" s="15" t="inlineStr">
        <is>
          <t>CS</t>
        </is>
      </c>
      <c r="G78" s="11" t="n">
        <v>3</v>
      </c>
      <c r="H78" s="10" t="inlineStr">
        <is>
          <t>ADET</t>
        </is>
      </c>
      <c r="I78" s="10" t="n">
        <v>1</v>
      </c>
      <c r="J78" s="20">
        <f>+G78*ROUNDUP((4+0.75),0)*I78</f>
        <v/>
      </c>
      <c r="K78" s="10" t="n"/>
      <c r="L78" s="12" t="inlineStr">
        <is>
          <t>FITTING</t>
        </is>
      </c>
    </row>
    <row r="79">
      <c r="B79" s="9">
        <f>+ROW()-5</f>
        <v/>
      </c>
      <c r="C79" s="24" t="inlineStr">
        <is>
          <t>SOCKOLET,  SW, 3000 LB, MSS SP97, ASTM A105, 3000</t>
        </is>
      </c>
      <c r="D79" s="10" t="inlineStr">
        <is>
          <t>FAZ1</t>
        </is>
      </c>
      <c r="E79" s="22" t="inlineStr">
        <is>
          <t>6x1/2</t>
        </is>
      </c>
      <c r="F79" s="15" t="inlineStr">
        <is>
          <t>CS</t>
        </is>
      </c>
      <c r="G79" s="11" t="n">
        <v>5</v>
      </c>
      <c r="H79" s="10" t="inlineStr">
        <is>
          <t>ADET</t>
        </is>
      </c>
      <c r="I79" s="10" t="n">
        <v>1</v>
      </c>
      <c r="J79" s="20">
        <f>+G79*ROUNDUP((6+0.5),0)*I79</f>
        <v/>
      </c>
      <c r="K79" s="10" t="n"/>
      <c r="L79" s="12" t="inlineStr">
        <is>
          <t>FITTING</t>
        </is>
      </c>
    </row>
    <row r="80">
      <c r="B80" s="9">
        <f>+ROW()-5</f>
        <v/>
      </c>
      <c r="C80" s="24" t="inlineStr">
        <is>
          <t>SOCKOLET,  SW, 3000 LB, MSS SP97, ASTM A105, 3000</t>
        </is>
      </c>
      <c r="D80" s="10" t="inlineStr">
        <is>
          <t>FAZ1</t>
        </is>
      </c>
      <c r="E80" s="22" t="inlineStr">
        <is>
          <t>6x3/4</t>
        </is>
      </c>
      <c r="F80" s="15" t="inlineStr">
        <is>
          <t>CS</t>
        </is>
      </c>
      <c r="G80" s="11" t="n">
        <v>2</v>
      </c>
      <c r="H80" s="10" t="inlineStr">
        <is>
          <t>ADET</t>
        </is>
      </c>
      <c r="I80" s="10" t="n">
        <v>1</v>
      </c>
      <c r="J80" s="20">
        <f>+G80*ROUNDUP((6+0.75),0)*I80</f>
        <v/>
      </c>
      <c r="K80" s="10" t="n"/>
      <c r="L80" s="12" t="inlineStr">
        <is>
          <t>FITTING</t>
        </is>
      </c>
    </row>
    <row r="81">
      <c r="B81" s="9">
        <f>+ROW()-5</f>
        <v/>
      </c>
      <c r="C81" s="24" t="inlineStr">
        <is>
          <t>THREADOLET, ASTM A105, 3000LB, THREADED FEMALE ENDS, MSS SP97., 3000</t>
        </is>
      </c>
      <c r="D81" s="10" t="inlineStr">
        <is>
          <t>FAZ1</t>
        </is>
      </c>
      <c r="E81" s="22" t="inlineStr">
        <is>
          <t>4x1/2</t>
        </is>
      </c>
      <c r="F81" s="15" t="inlineStr">
        <is>
          <t>CS</t>
        </is>
      </c>
      <c r="G81" s="11" t="n">
        <v>1</v>
      </c>
      <c r="H81" s="10" t="inlineStr">
        <is>
          <t>ADET</t>
        </is>
      </c>
      <c r="I81" s="10" t="inlineStr">
        <is>
          <t>-</t>
        </is>
      </c>
      <c r="J81" s="20" t="inlineStr">
        <is>
          <t>-</t>
        </is>
      </c>
      <c r="K81" s="10" t="n"/>
      <c r="L81" s="12" t="inlineStr">
        <is>
          <t>FITTING</t>
        </is>
      </c>
    </row>
    <row r="82">
      <c r="B82" s="9">
        <f>+ROW()-5</f>
        <v/>
      </c>
      <c r="C82" s="24" t="inlineStr">
        <is>
          <t>THREADOLET, ASTM A105, 3000LB, THREADED FEMALE ENDS, MSS SP97., 3000</t>
        </is>
      </c>
      <c r="D82" s="10" t="inlineStr">
        <is>
          <t>FAZ1</t>
        </is>
      </c>
      <c r="E82" s="22" t="inlineStr">
        <is>
          <t>6x1/2</t>
        </is>
      </c>
      <c r="F82" s="15" t="inlineStr">
        <is>
          <t>CS</t>
        </is>
      </c>
      <c r="G82" s="11" t="n">
        <v>2</v>
      </c>
      <c r="H82" s="10" t="inlineStr">
        <is>
          <t>ADET</t>
        </is>
      </c>
      <c r="I82" s="10" t="inlineStr">
        <is>
          <t>-</t>
        </is>
      </c>
      <c r="J82" s="20" t="inlineStr">
        <is>
          <t>-</t>
        </is>
      </c>
      <c r="K82" s="10" t="n"/>
      <c r="L82" s="12" t="inlineStr">
        <is>
          <t>FITTING</t>
        </is>
      </c>
    </row>
    <row r="83">
      <c r="B83" s="9">
        <f>+ROW()-5</f>
        <v/>
      </c>
      <c r="C83" s="24" t="inlineStr">
        <is>
          <t>WELDOLET, BW/SW, ASTM A234 WPB/ ASTM A105, SCH STD, MSS SP-97, STD</t>
        </is>
      </c>
      <c r="D83" s="10" t="inlineStr">
        <is>
          <t>FAZ1</t>
        </is>
      </c>
      <c r="E83" s="22" t="inlineStr">
        <is>
          <t>12x4</t>
        </is>
      </c>
      <c r="F83" s="15" t="inlineStr">
        <is>
          <t>CS</t>
        </is>
      </c>
      <c r="G83" s="11" t="n">
        <v>3</v>
      </c>
      <c r="H83" s="10" t="inlineStr">
        <is>
          <t>ADET</t>
        </is>
      </c>
      <c r="I83" s="10" t="n">
        <v>1</v>
      </c>
      <c r="J83" s="20">
        <f>+I83*G83*(12+4)</f>
        <v/>
      </c>
      <c r="K83" s="10" t="n"/>
      <c r="L83" s="12" t="inlineStr">
        <is>
          <t>FITTING</t>
        </is>
      </c>
    </row>
    <row r="84">
      <c r="B84" s="9">
        <f>+ROW()-5</f>
        <v/>
      </c>
      <c r="C84" s="24" t="inlineStr">
        <is>
          <t>PIPE, ASTM A 106 GR.B OR ASTM A53 GR.B, ASME B36.10, SEAMLESS, PLAIN ENDS, 80</t>
        </is>
      </c>
      <c r="D84" s="10" t="inlineStr">
        <is>
          <t>FAZ1</t>
        </is>
      </c>
      <c r="E84" s="21" t="n">
        <v>1.5</v>
      </c>
      <c r="F84" s="15" t="inlineStr">
        <is>
          <t>CS</t>
        </is>
      </c>
      <c r="G84" s="11" t="n">
        <v>0.1</v>
      </c>
      <c r="H84" s="10" t="inlineStr">
        <is>
          <t>M</t>
        </is>
      </c>
      <c r="I84" s="10">
        <f>+ROUNDUP(G84/6,0)</f>
        <v/>
      </c>
      <c r="J84" s="20">
        <f>+ROUNDUP(I84*E84,0)</f>
        <v/>
      </c>
      <c r="K84" s="10" t="n"/>
      <c r="L84" s="12" t="inlineStr">
        <is>
          <t>BORU</t>
        </is>
      </c>
      <c r="N84" s="26" t="inlineStr">
        <is>
          <t>M14x70, STUD BOLT, WITH 2 HEAVY HEXAGONAL NUTS, ASTM A193 GR.B7 / A194 GR.2H, ASME B18.2.1 / B18.2.2, -</t>
        </is>
      </c>
    </row>
    <row r="85">
      <c r="B85" s="9">
        <f>+ROW()-5</f>
        <v/>
      </c>
      <c r="C85" s="24" t="inlineStr">
        <is>
          <t>PIPE, ASTM A 106 GR.B OR ASTM A53 GR.B, ASME B36.10, SEAMLESS, PLAIN ENDS, 80</t>
        </is>
      </c>
      <c r="D85" s="10" t="inlineStr">
        <is>
          <t>FAZ1</t>
        </is>
      </c>
      <c r="E85" s="18" t="n">
        <v>1.25</v>
      </c>
      <c r="F85" s="15" t="inlineStr">
        <is>
          <t>CS</t>
        </is>
      </c>
      <c r="G85" s="11" t="n">
        <v>0.2</v>
      </c>
      <c r="H85" s="10" t="inlineStr">
        <is>
          <t>M</t>
        </is>
      </c>
      <c r="I85" s="10">
        <f>+ROUNDUP(G85/6,0)</f>
        <v/>
      </c>
      <c r="J85" s="20">
        <f>+ROUNDUP(I85*E85,0)</f>
        <v/>
      </c>
      <c r="K85" s="10" t="n"/>
      <c r="L85" s="12" t="inlineStr">
        <is>
          <t>BORU</t>
        </is>
      </c>
      <c r="N85" s="26" t="inlineStr">
        <is>
          <t>M14x80, STUD BOLT, WITH 2 HEAVY HEXAGONAL NUTS, ASTM A193 GR.B7 / A194 GR.2H, ASME B18.2.1 / B18.2.2, -</t>
        </is>
      </c>
    </row>
    <row r="86">
      <c r="B86" s="9">
        <f>+ROW()-5</f>
        <v/>
      </c>
      <c r="C86" s="24" t="inlineStr">
        <is>
          <t>PIPE, ASTM A 106 GR.B OR ASTM A53 GR.B, ASME B36.10, SEAMLESS, PLAIN ENDS, 80</t>
        </is>
      </c>
      <c r="D86" s="10" t="inlineStr">
        <is>
          <t>FAZ1</t>
        </is>
      </c>
      <c r="E86" s="22" t="n">
        <v>2</v>
      </c>
      <c r="F86" s="15" t="inlineStr">
        <is>
          <t>CS</t>
        </is>
      </c>
      <c r="G86" s="11" t="n">
        <v>0.3</v>
      </c>
      <c r="H86" s="10" t="inlineStr">
        <is>
          <t>M</t>
        </is>
      </c>
      <c r="I86" s="10">
        <f>+ROUNDUP(G86/6,0)</f>
        <v/>
      </c>
      <c r="J86" s="20">
        <f>+ROUNDUP(I86*E86,0)</f>
        <v/>
      </c>
      <c r="K86" s="10" t="n"/>
      <c r="L86" s="12" t="inlineStr">
        <is>
          <t>BORU</t>
        </is>
      </c>
      <c r="N86" s="26" t="inlineStr">
        <is>
          <t>M16x90, STUD BOLT, WITH 2 HEAVY HEXAGONAL NUTS, ASTM A193 GR.B7 / A194 GR.2H, ASME B18.2.1 / B18.2.2, -</t>
        </is>
      </c>
    </row>
    <row r="87">
      <c r="B87" s="9">
        <f>+ROW()-5</f>
        <v/>
      </c>
      <c r="C87" s="24" t="inlineStr">
        <is>
          <t>PIPE, ASTM A 106 GR.B OR ASTM A53 GR.B, ASME B36.10, SEAMLESS, PLAIN ENDS, 80</t>
        </is>
      </c>
      <c r="D87" s="10" t="inlineStr">
        <is>
          <t>FAZ1</t>
        </is>
      </c>
      <c r="E87" s="18" t="n">
        <v>0.75</v>
      </c>
      <c r="F87" s="15" t="inlineStr">
        <is>
          <t>CS</t>
        </is>
      </c>
      <c r="G87" s="11" t="n">
        <v>1.8</v>
      </c>
      <c r="H87" s="10" t="inlineStr">
        <is>
          <t>M</t>
        </is>
      </c>
      <c r="I87" s="10">
        <f>+ROUNDUP(G87/6,0)</f>
        <v/>
      </c>
      <c r="J87" s="20">
        <f>+ROUNDUP(I87*E87,0)</f>
        <v/>
      </c>
      <c r="K87" s="10" t="n"/>
      <c r="L87" s="12" t="inlineStr">
        <is>
          <t>BORU</t>
        </is>
      </c>
      <c r="N87" s="26" t="inlineStr">
        <is>
          <t>M16x100, STUD BOLT, WITH 2 HEAVY HEXAGONAL NUTS, ASTM A193 GR.B7 / A194 GR.2H, ASME B18.2.1 / B18.2.2, -</t>
        </is>
      </c>
    </row>
    <row r="88">
      <c r="B88" s="9">
        <f>+ROW()-5</f>
        <v/>
      </c>
      <c r="C88" s="24" t="inlineStr">
        <is>
          <t>PIPE, SEAMLESS, ASTM A53-GR.B, PE, ASME B36.10, 160</t>
        </is>
      </c>
      <c r="D88" s="10" t="inlineStr">
        <is>
          <t>FAZ1</t>
        </is>
      </c>
      <c r="E88" s="18" t="n">
        <v>0.75</v>
      </c>
      <c r="F88" s="15" t="inlineStr">
        <is>
          <t>CS</t>
        </is>
      </c>
      <c r="G88" s="11" t="n">
        <v>0.3</v>
      </c>
      <c r="H88" s="10" t="inlineStr">
        <is>
          <t>M</t>
        </is>
      </c>
      <c r="I88" s="10">
        <f>+ROUNDUP(G88/6,0)</f>
        <v/>
      </c>
      <c r="J88" s="20">
        <f>+ROUNDUP(I88*E88,0)</f>
        <v/>
      </c>
      <c r="K88" s="10" t="n"/>
      <c r="L88" s="12" t="inlineStr">
        <is>
          <t>BORU</t>
        </is>
      </c>
      <c r="N88" s="26" t="inlineStr">
        <is>
          <t>M20x110, STUD BOLT, WITH 2 HEAVY HEXAGONAL NUTS, ASTM A193 GR.B7 / A194 GR.2H, ASME B18.2.1 / B18.2.2, -</t>
        </is>
      </c>
    </row>
    <row r="89">
      <c r="B89" s="9">
        <f>+ROW()-5</f>
        <v/>
      </c>
      <c r="C89" s="24" t="inlineStr">
        <is>
          <t>PIPE, SEAMLESS, ASTM A53-GR.B, BE, ASME B36.10, 40</t>
        </is>
      </c>
      <c r="D89" s="10" t="inlineStr">
        <is>
          <t>FAZ1</t>
        </is>
      </c>
      <c r="E89" s="22" t="n">
        <v>4</v>
      </c>
      <c r="F89" s="15" t="inlineStr">
        <is>
          <t>CS</t>
        </is>
      </c>
      <c r="G89" s="11" t="n">
        <v>11.7</v>
      </c>
      <c r="H89" s="10" t="inlineStr">
        <is>
          <t>M</t>
        </is>
      </c>
      <c r="I89" s="10">
        <f>+ROUNDUP(G89/6,0)</f>
        <v/>
      </c>
      <c r="J89" s="20">
        <f>+ROUNDUP(I89*E89,0)</f>
        <v/>
      </c>
      <c r="K89" s="10" t="n"/>
      <c r="L89" s="12" t="inlineStr">
        <is>
          <t>BORU</t>
        </is>
      </c>
      <c r="N89" s="26" t="inlineStr">
        <is>
          <t>M20x120, STUD BOLT, WITH 2 HEAVY HEXAGONAL NUTS, ASTM A193 GR.B7 / A194 GR.2H, ASME B18.2.1 / B18.2.2, -</t>
        </is>
      </c>
    </row>
    <row r="90">
      <c r="B90" s="9">
        <f>+ROW()-5</f>
        <v/>
      </c>
      <c r="C90" s="24" t="inlineStr">
        <is>
          <t>PIPE, SEAMLESS, ASTM A53-GR.B, BE, ASME B36.10, 40</t>
        </is>
      </c>
      <c r="D90" s="10" t="inlineStr">
        <is>
          <t>FAZ1</t>
        </is>
      </c>
      <c r="E90" s="22" t="n">
        <v>8</v>
      </c>
      <c r="F90" s="15" t="inlineStr">
        <is>
          <t>CS</t>
        </is>
      </c>
      <c r="G90" s="11" t="n">
        <v>26.4</v>
      </c>
      <c r="H90" s="10" t="inlineStr">
        <is>
          <t>M</t>
        </is>
      </c>
      <c r="I90" s="10">
        <f>+ROUNDUP(G90/6,0)</f>
        <v/>
      </c>
      <c r="J90" s="20">
        <f>+ROUNDUP(I90*E90,0)</f>
        <v/>
      </c>
      <c r="K90" s="10" t="n"/>
      <c r="L90" s="12" t="inlineStr">
        <is>
          <t>BORU</t>
        </is>
      </c>
      <c r="N90" s="26" t="inlineStr">
        <is>
          <t>M24x130, STUD BOLT, WITH 2 HEAVY HEXAGONAL NUTS, ASTM A193 GR.B7 / A194 GR.2H, ASME B18.2.1 / B18.2.2, -</t>
        </is>
      </c>
    </row>
    <row r="91">
      <c r="B91" s="9">
        <f>+ROW()-5</f>
        <v/>
      </c>
      <c r="C91" s="24" t="inlineStr">
        <is>
          <t>PIPE, ASTM A 106 GR.B OR API 5L GR B PSL1, ASME 36.10, SAW-SAWL, BEVELED ENDS, 20</t>
        </is>
      </c>
      <c r="D91" s="10" t="inlineStr">
        <is>
          <t>FAZ1</t>
        </is>
      </c>
      <c r="E91" s="22" t="n">
        <v>12</v>
      </c>
      <c r="F91" s="15" t="inlineStr">
        <is>
          <t>CS</t>
        </is>
      </c>
      <c r="G91" s="11" t="n">
        <v>134.7</v>
      </c>
      <c r="H91" s="10" t="inlineStr">
        <is>
          <t>M</t>
        </is>
      </c>
      <c r="I91" s="10">
        <f>+ROUNDUP(G91/6,0)</f>
        <v/>
      </c>
      <c r="J91" s="20">
        <f>+ROUNDUP(I91*E91,0)</f>
        <v/>
      </c>
      <c r="K91" s="10" t="n"/>
      <c r="L91" s="12" t="inlineStr">
        <is>
          <t>BORU</t>
        </is>
      </c>
      <c r="N91" s="26" t="inlineStr">
        <is>
          <t>12", ELBOW 45, BW, ASME B16.9, ASTM A234 WPB, 20</t>
        </is>
      </c>
    </row>
    <row r="92">
      <c r="B92" s="9">
        <f>+ROW()-5</f>
        <v/>
      </c>
      <c r="C92" s="24" t="inlineStr">
        <is>
          <t>PIPE, ASTM A 106 GR.B OR ASTM A53 GR.B, ASME B36.10, SAW-SAWL, BEVELED ENDS, 40</t>
        </is>
      </c>
      <c r="D92" s="10" t="inlineStr">
        <is>
          <t>FAZ1</t>
        </is>
      </c>
      <c r="E92" s="22" t="n">
        <v>12</v>
      </c>
      <c r="F92" s="15" t="inlineStr">
        <is>
          <t>CS</t>
        </is>
      </c>
      <c r="G92" s="11" t="n">
        <v>185</v>
      </c>
      <c r="H92" s="10" t="inlineStr">
        <is>
          <t>M</t>
        </is>
      </c>
      <c r="I92" s="10">
        <f>+ROUNDUP(G92/6,0)</f>
        <v/>
      </c>
      <c r="J92" s="20">
        <f>+ROUNDUP(I92*E92,0)</f>
        <v/>
      </c>
      <c r="K92" s="10" t="n"/>
      <c r="L92" s="12" t="inlineStr">
        <is>
          <t>BORU</t>
        </is>
      </c>
      <c r="N92" s="26" t="inlineStr">
        <is>
          <t>12", ELBOW 45, BW, ASME B16.9, ASTM A234 WPB, 40</t>
        </is>
      </c>
    </row>
    <row r="93">
      <c r="B93" s="9">
        <f>+ROW()-5</f>
        <v/>
      </c>
      <c r="C93" s="24" t="inlineStr">
        <is>
          <t>PIPE, ASTM A 106 GR.B OR ASTM A53 GR.B, ASME B36.10, SAW-SAWL, BEVELED ENDS, 40</t>
        </is>
      </c>
      <c r="D93" s="10" t="inlineStr">
        <is>
          <t>FAZ1</t>
        </is>
      </c>
      <c r="E93" s="22" t="n">
        <v>3</v>
      </c>
      <c r="F93" s="15" t="inlineStr">
        <is>
          <t>CS</t>
        </is>
      </c>
      <c r="G93" s="11" t="n">
        <v>10</v>
      </c>
      <c r="H93" s="10" t="inlineStr">
        <is>
          <t>M</t>
        </is>
      </c>
      <c r="I93" s="10">
        <f>+ROUNDUP(G93/6,0)</f>
        <v/>
      </c>
      <c r="J93" s="20">
        <f>+ROUNDUP(I93*E93,0)</f>
        <v/>
      </c>
      <c r="K93" s="10" t="n"/>
      <c r="L93" s="12" t="inlineStr">
        <is>
          <t>BORU</t>
        </is>
      </c>
      <c r="N93" s="26" t="inlineStr">
        <is>
          <t>8", ELBOW 45, BW, ASME B16.9, ASTM A234 WPB, 20</t>
        </is>
      </c>
    </row>
    <row r="94">
      <c r="B94" s="9">
        <f>+ROW()-5</f>
        <v/>
      </c>
      <c r="C94" s="24" t="inlineStr">
        <is>
          <t>PIPE, ASTM A 106 GR.B OR ASTM A53 GR.B, ASME B36.10, SAW-SAWL, BEVELED ENDS, 40</t>
        </is>
      </c>
      <c r="D94" s="10" t="inlineStr">
        <is>
          <t>FAZ1</t>
        </is>
      </c>
      <c r="E94" s="22" t="n">
        <v>4</v>
      </c>
      <c r="F94" s="15" t="inlineStr">
        <is>
          <t>CS</t>
        </is>
      </c>
      <c r="G94" s="11" t="n">
        <v>116.9</v>
      </c>
      <c r="H94" s="10" t="inlineStr">
        <is>
          <t>M</t>
        </is>
      </c>
      <c r="I94" s="10">
        <f>+ROUNDUP(G94/6,0)</f>
        <v/>
      </c>
      <c r="J94" s="20">
        <f>+ROUNDUP(I94*E94,0)</f>
        <v/>
      </c>
      <c r="K94" s="10" t="n"/>
      <c r="L94" s="12" t="inlineStr">
        <is>
          <t>BORU</t>
        </is>
      </c>
      <c r="N94" s="26" t="inlineStr">
        <is>
          <t>8", ELBOW 45, BW, ASME B16.9, ASTM A234 WPB, 40</t>
        </is>
      </c>
    </row>
    <row r="95">
      <c r="B95" s="9">
        <f>+ROW()-5</f>
        <v/>
      </c>
      <c r="C95" s="24" t="inlineStr">
        <is>
          <t>PIPE, ASTM A 106 GR.B OR ASTM A53 GR.B, ASME B36.10, SAW-SAWL, BEVELED ENDS, 40</t>
        </is>
      </c>
      <c r="D95" s="10" t="inlineStr">
        <is>
          <t>FAZ1</t>
        </is>
      </c>
      <c r="E95" s="22" t="n">
        <v>6</v>
      </c>
      <c r="F95" s="15" t="inlineStr">
        <is>
          <t>CS</t>
        </is>
      </c>
      <c r="G95" s="11" t="n">
        <v>105</v>
      </c>
      <c r="H95" s="10" t="inlineStr">
        <is>
          <t>M</t>
        </is>
      </c>
      <c r="I95" s="10">
        <f>+ROUNDUP(G95/6,0)</f>
        <v/>
      </c>
      <c r="J95" s="20">
        <f>+ROUNDUP(I95*E95,0)</f>
        <v/>
      </c>
      <c r="K95" s="10" t="n"/>
      <c r="L95" s="12" t="inlineStr">
        <is>
          <t>BORU</t>
        </is>
      </c>
      <c r="N95" s="26" t="inlineStr">
        <is>
          <t>12", ELBOW 90, BW, ASME B16.9, ASTM A234 GR.WPB, 20</t>
        </is>
      </c>
    </row>
    <row r="96">
      <c r="B96" s="9">
        <f>+ROW()-5</f>
        <v/>
      </c>
      <c r="C96" s="24" t="inlineStr">
        <is>
          <t>PIPE, ASTM A 106 GR.B OR API 5L GR B PSL1, ASME 36.10, SAW-SAWL, BEVELED ENDS, 20</t>
        </is>
      </c>
      <c r="D96" s="10" t="inlineStr">
        <is>
          <t>FAZ1</t>
        </is>
      </c>
      <c r="E96" s="22" t="n">
        <v>8</v>
      </c>
      <c r="F96" s="15" t="inlineStr">
        <is>
          <t>CS</t>
        </is>
      </c>
      <c r="G96" s="11" t="n">
        <v>24.3</v>
      </c>
      <c r="H96" s="10" t="inlineStr">
        <is>
          <t>M</t>
        </is>
      </c>
      <c r="I96" s="10">
        <f>+ROUNDUP(G96/6,0)</f>
        <v/>
      </c>
      <c r="J96" s="20">
        <f>+ROUNDUP(I96*E96,0)</f>
        <v/>
      </c>
      <c r="K96" s="10" t="n"/>
      <c r="L96" s="12" t="inlineStr">
        <is>
          <t>BORU</t>
        </is>
      </c>
      <c r="N96" s="26" t="inlineStr">
        <is>
          <t>12", ELBOW 90, BW, ASME B16.9, ASTM A234 GR.WPB, 40</t>
        </is>
      </c>
    </row>
    <row r="97">
      <c r="B97" s="9">
        <f>+ROW()-5</f>
        <v/>
      </c>
      <c r="C97" s="24" t="inlineStr">
        <is>
          <t>PIPE, ASTM A 106 GR.B OR ASTM A53 GR.B, ASME B36.10, SAW-SAWL, BEVELED ENDS, 40</t>
        </is>
      </c>
      <c r="D97" s="10" t="inlineStr">
        <is>
          <t>FAZ1</t>
        </is>
      </c>
      <c r="E97" s="22" t="n">
        <v>8</v>
      </c>
      <c r="F97" s="15" t="inlineStr">
        <is>
          <t>CS</t>
        </is>
      </c>
      <c r="G97" s="11" t="n">
        <v>11.8</v>
      </c>
      <c r="H97" s="10" t="inlineStr">
        <is>
          <t>M</t>
        </is>
      </c>
      <c r="I97" s="10">
        <f>+ROUNDUP(G97/6,0)</f>
        <v/>
      </c>
      <c r="J97" s="20">
        <f>+ROUNDUP(I97*E97,0)</f>
        <v/>
      </c>
      <c r="K97" s="10" t="n"/>
      <c r="L97" s="12" t="inlineStr">
        <is>
          <t>BORU</t>
        </is>
      </c>
      <c r="N97" s="26" t="inlineStr">
        <is>
          <t>3", ELBOW 90, BW, ASME B16.9, ASTM A234 GR.WPB, 40</t>
        </is>
      </c>
    </row>
    <row r="98">
      <c r="B98" s="9">
        <f>+ROW()-5</f>
        <v/>
      </c>
      <c r="C98" s="24" t="inlineStr">
        <is>
          <t>PLUG, ROUND HEAD, ASTM A105, 3000LB, THDM, ASME B16.11, 3000</t>
        </is>
      </c>
      <c r="D98" s="10" t="inlineStr">
        <is>
          <t>FAZ1</t>
        </is>
      </c>
      <c r="E98" s="22" t="n">
        <v>2</v>
      </c>
      <c r="F98" s="15" t="inlineStr">
        <is>
          <t>CS</t>
        </is>
      </c>
      <c r="G98" s="11" t="n">
        <v>1</v>
      </c>
      <c r="H98" s="10" t="inlineStr">
        <is>
          <t>ADET</t>
        </is>
      </c>
      <c r="I98" s="10" t="inlineStr">
        <is>
          <t>-</t>
        </is>
      </c>
      <c r="J98" s="20" t="inlineStr">
        <is>
          <t>-</t>
        </is>
      </c>
      <c r="K98" s="10" t="n"/>
      <c r="L98" s="12" t="inlineStr">
        <is>
          <t>FITTING</t>
        </is>
      </c>
      <c r="N98" s="26" t="inlineStr">
        <is>
          <t>3/4", ELBOW 90, SW, 3000 LB, ASME B16.11, ASTM A105, 3000</t>
        </is>
      </c>
    </row>
    <row r="99">
      <c r="B99" s="9">
        <f>+ROW()-5</f>
        <v/>
      </c>
      <c r="C99" s="24" t="inlineStr">
        <is>
          <t>PLUG, ROUND HEAD, ASTM A105, 3000LB, THDM, ASME B16.11, 3000</t>
        </is>
      </c>
      <c r="D99" s="10" t="inlineStr">
        <is>
          <t>FAZ1</t>
        </is>
      </c>
      <c r="E99" s="18" t="n">
        <v>0.75</v>
      </c>
      <c r="F99" s="15" t="inlineStr">
        <is>
          <t>CS</t>
        </is>
      </c>
      <c r="G99" s="11" t="n">
        <v>12</v>
      </c>
      <c r="H99" s="10" t="inlineStr">
        <is>
          <t>ADET</t>
        </is>
      </c>
      <c r="I99" s="10" t="inlineStr">
        <is>
          <t>-</t>
        </is>
      </c>
      <c r="J99" s="20" t="inlineStr">
        <is>
          <t>-</t>
        </is>
      </c>
      <c r="K99" s="10" t="n"/>
      <c r="L99" s="12" t="inlineStr">
        <is>
          <t>FITTING</t>
        </is>
      </c>
      <c r="N99" s="26" t="inlineStr">
        <is>
          <t>4", ELBOW 90, BW, ASME B16.9, ASTM A234 GR.WPB, 40</t>
        </is>
      </c>
    </row>
    <row r="100">
      <c r="B100" s="9">
        <f>+ROW()-5</f>
        <v/>
      </c>
      <c r="C100" s="24" t="inlineStr">
        <is>
          <t>REDUCER (CONC), BW, ASME B16.9, ASTM A234 GR.WPB, 40X80</t>
        </is>
      </c>
      <c r="D100" s="10" t="inlineStr">
        <is>
          <t>FAZ1</t>
        </is>
      </c>
      <c r="E100" s="22" t="inlineStr">
        <is>
          <t>3x1 1/4</t>
        </is>
      </c>
      <c r="F100" s="15" t="inlineStr">
        <is>
          <t>CS</t>
        </is>
      </c>
      <c r="G100" s="11" t="n">
        <v>1</v>
      </c>
      <c r="H100" s="10" t="inlineStr">
        <is>
          <t>ADET</t>
        </is>
      </c>
      <c r="I100" s="10" t="n">
        <v>1</v>
      </c>
      <c r="J100" s="20">
        <f>+I100*ROUNDUP((3+1.25),0)*G100</f>
        <v/>
      </c>
      <c r="K100" s="10" t="n"/>
      <c r="L100" s="12" t="inlineStr">
        <is>
          <t>FITTING</t>
        </is>
      </c>
      <c r="N100" s="26" t="inlineStr">
        <is>
          <t>4", ELBOW 90, BW, SEAMLESS, ASME B16.9, ASTM A234 GR.WPB, 40</t>
        </is>
      </c>
    </row>
    <row r="101">
      <c r="B101" s="9">
        <f>+ROW()-5</f>
        <v/>
      </c>
      <c r="C101" s="24" t="inlineStr">
        <is>
          <t>REDUCER (CONC), BW, ASME B16.9, ASTM A234 GR.WPB, 40X80</t>
        </is>
      </c>
      <c r="D101" s="10" t="inlineStr">
        <is>
          <t>FAZ1</t>
        </is>
      </c>
      <c r="E101" s="22" t="inlineStr">
        <is>
          <t>4x1 1/2</t>
        </is>
      </c>
      <c r="F101" s="15" t="inlineStr">
        <is>
          <t>CS</t>
        </is>
      </c>
      <c r="G101" s="11" t="n">
        <v>1</v>
      </c>
      <c r="H101" s="10" t="inlineStr">
        <is>
          <t>ADET</t>
        </is>
      </c>
      <c r="I101" s="10" t="n">
        <v>1</v>
      </c>
      <c r="J101" s="20">
        <f>+I101*ROUNDUP((3+1.5),0)*G101</f>
        <v/>
      </c>
      <c r="K101" s="10" t="n"/>
      <c r="L101" s="12" t="inlineStr">
        <is>
          <t>FITTING</t>
        </is>
      </c>
      <c r="N101" s="26" t="inlineStr">
        <is>
          <t>6", ELBOW 90, BW, ASME B16.9, ASTM A234 GR.WPB, 40</t>
        </is>
      </c>
    </row>
    <row r="102">
      <c r="B102" s="9">
        <f>+ROW()-5</f>
        <v/>
      </c>
      <c r="C102" s="24" t="inlineStr">
        <is>
          <t>REDUCER (CONC), BW, SMLS, ASME B16.9, ASTM A234 GR.WPB, 40X80</t>
        </is>
      </c>
      <c r="D102" s="10" t="inlineStr">
        <is>
          <t>FAZ1</t>
        </is>
      </c>
      <c r="E102" s="22" t="inlineStr">
        <is>
          <t>4x2</t>
        </is>
      </c>
      <c r="F102" s="15" t="inlineStr">
        <is>
          <t>CS</t>
        </is>
      </c>
      <c r="G102" s="11" t="n">
        <v>2</v>
      </c>
      <c r="H102" s="10" t="inlineStr">
        <is>
          <t>ADET</t>
        </is>
      </c>
      <c r="I102" s="10" t="n">
        <v>1</v>
      </c>
      <c r="J102" s="20">
        <f>+I102*ROUNDUP((4+2),0)*G102</f>
        <v/>
      </c>
      <c r="K102" s="10" t="n"/>
      <c r="L102" s="12" t="inlineStr">
        <is>
          <t>FITTING</t>
        </is>
      </c>
      <c r="N102" s="26" t="inlineStr">
        <is>
          <t>8", ELBOW 90, BW, ASME B16.9, ASTM A234 GR.WPB, 20</t>
        </is>
      </c>
    </row>
    <row r="103">
      <c r="B103" s="9">
        <f>+ROW()-5</f>
        <v/>
      </c>
      <c r="C103" s="24" t="inlineStr">
        <is>
          <t>REDUCER (ECC), BW, ASME B16.9, ASTM A234 WPB, 20x40</t>
        </is>
      </c>
      <c r="D103" s="10" t="inlineStr">
        <is>
          <t>FAZ1</t>
        </is>
      </c>
      <c r="E103" s="22" t="inlineStr">
        <is>
          <t>12x6</t>
        </is>
      </c>
      <c r="F103" s="15" t="inlineStr">
        <is>
          <t>CS</t>
        </is>
      </c>
      <c r="G103" s="11" t="n">
        <v>1</v>
      </c>
      <c r="H103" s="10" t="inlineStr">
        <is>
          <t>ADET</t>
        </is>
      </c>
      <c r="I103" s="10" t="n">
        <v>1</v>
      </c>
      <c r="J103" s="20">
        <f>+I103*ROUNDUP((12+6),0)*G103</f>
        <v/>
      </c>
      <c r="K103" s="10" t="n"/>
      <c r="L103" s="12" t="inlineStr">
        <is>
          <t>FITTING</t>
        </is>
      </c>
      <c r="N103" s="26" t="inlineStr">
        <is>
          <t>8", ELBOW 90, BW, ASME B16.9, ASTM A234 GR.WPB, 40</t>
        </is>
      </c>
    </row>
    <row r="104">
      <c r="B104" s="9">
        <f>+ROW()-5</f>
        <v/>
      </c>
      <c r="C104" s="24" t="inlineStr">
        <is>
          <t>REDUCER (ECC), BW, ASME B16.9, ASTM A234 WPB, 40X80</t>
        </is>
      </c>
      <c r="D104" s="10" t="inlineStr">
        <is>
          <t>FAZ1</t>
        </is>
      </c>
      <c r="E104" s="22" t="inlineStr">
        <is>
          <t>4x2</t>
        </is>
      </c>
      <c r="F104" s="15" t="inlineStr">
        <is>
          <t>CS</t>
        </is>
      </c>
      <c r="G104" s="11" t="n">
        <v>1</v>
      </c>
      <c r="H104" s="10" t="inlineStr">
        <is>
          <t>ADET</t>
        </is>
      </c>
      <c r="I104" s="10" t="n">
        <v>1</v>
      </c>
      <c r="J104" s="20">
        <f>+I104*ROUNDUP((4+2),0)*G104</f>
        <v/>
      </c>
      <c r="K104" s="10" t="n"/>
      <c r="L104" s="12" t="inlineStr">
        <is>
          <t>FITTING</t>
        </is>
      </c>
      <c r="N104" s="26" t="inlineStr">
        <is>
          <t>8", ELBOW 90, BW, SEAMLESS, ASME B16.9, ASTM A234 GR.WPB, 40</t>
        </is>
      </c>
    </row>
    <row r="105">
      <c r="B105" s="9">
        <f>+ROW()-5</f>
        <v/>
      </c>
      <c r="C105" s="24" t="inlineStr">
        <is>
          <t>REDUCER (ECC), BW, ASME B16.9, ASTM A234 WPB, 40</t>
        </is>
      </c>
      <c r="D105" s="10" t="inlineStr">
        <is>
          <t>FAZ1</t>
        </is>
      </c>
      <c r="E105" s="22" t="inlineStr">
        <is>
          <t>6x2 1/2</t>
        </is>
      </c>
      <c r="F105" s="15" t="inlineStr">
        <is>
          <t>CS</t>
        </is>
      </c>
      <c r="G105" s="11" t="n">
        <v>2</v>
      </c>
      <c r="H105" s="10" t="inlineStr">
        <is>
          <t>ADET</t>
        </is>
      </c>
      <c r="I105" s="10" t="n">
        <v>1</v>
      </c>
      <c r="J105" s="20">
        <f>+I105*ROUNDUP((6+2.5),0)*G105</f>
        <v/>
      </c>
      <c r="K105" s="10" t="n"/>
      <c r="L105" s="12" t="inlineStr">
        <is>
          <t>FITTING</t>
        </is>
      </c>
      <c r="N105" s="26" t="inlineStr">
        <is>
          <t>12", FLANGE BLIND, 150 LB, RF, ASME B16.5, ASTM A234 GR WPB, 150</t>
        </is>
      </c>
    </row>
    <row r="106">
      <c r="B106" s="9">
        <f>+ROW()-5</f>
        <v/>
      </c>
      <c r="C106" s="24" t="inlineStr">
        <is>
          <t>TEE, BW, ASME B16.9, ASTM A234 WPB, 20</t>
        </is>
      </c>
      <c r="D106" s="10" t="inlineStr">
        <is>
          <t>FAZ1</t>
        </is>
      </c>
      <c r="E106" s="22" t="n">
        <v>12</v>
      </c>
      <c r="F106" s="15" t="inlineStr">
        <is>
          <t>CS</t>
        </is>
      </c>
      <c r="G106" s="11" t="n">
        <v>6</v>
      </c>
      <c r="H106" s="10" t="inlineStr">
        <is>
          <t>ADET</t>
        </is>
      </c>
      <c r="I106" s="10" t="n">
        <v>3</v>
      </c>
      <c r="J106" s="20">
        <f>+E106*I106*G106</f>
        <v/>
      </c>
      <c r="K106" s="10" t="n"/>
      <c r="L106" s="12" t="inlineStr">
        <is>
          <t>FITTING</t>
        </is>
      </c>
      <c r="N106" s="26" t="inlineStr">
        <is>
          <t>12", FLANGE BLIND, 150 LB, RF, ASTM A 105, ASME B16.5, 150</t>
        </is>
      </c>
    </row>
    <row r="107">
      <c r="B107" s="9">
        <f>+ROW()-5</f>
        <v/>
      </c>
      <c r="C107" s="24" t="inlineStr">
        <is>
          <t>TEE, BW, ASME B16.9, ASTM A234 WPB, 40</t>
        </is>
      </c>
      <c r="D107" s="10" t="inlineStr">
        <is>
          <t>FAZ1</t>
        </is>
      </c>
      <c r="E107" s="22" t="n">
        <v>12</v>
      </c>
      <c r="F107" s="15" t="inlineStr">
        <is>
          <t>CS</t>
        </is>
      </c>
      <c r="G107" s="11" t="n">
        <v>7</v>
      </c>
      <c r="H107" s="10" t="inlineStr">
        <is>
          <t>ADET</t>
        </is>
      </c>
      <c r="I107" s="10" t="n">
        <v>3</v>
      </c>
      <c r="J107" s="20">
        <f>+E107*I107*G107</f>
        <v/>
      </c>
      <c r="K107" s="10" t="n"/>
      <c r="L107" s="12" t="inlineStr">
        <is>
          <t>FITTING</t>
        </is>
      </c>
      <c r="N107" s="26" t="inlineStr">
        <is>
          <t>3", FLANGE BLIND, 150 LB, RF, ASME B16.5, ASTM A234 GR WPB, 150</t>
        </is>
      </c>
    </row>
    <row r="108">
      <c r="B108" s="9">
        <f>+ROW()-5</f>
        <v/>
      </c>
      <c r="C108" s="24" t="inlineStr">
        <is>
          <t>TEE, BW, ASME B16.9, ASTM A234 WPB, 40</t>
        </is>
      </c>
      <c r="D108" s="10" t="inlineStr">
        <is>
          <t>FAZ1</t>
        </is>
      </c>
      <c r="E108" s="22" t="n">
        <v>4</v>
      </c>
      <c r="F108" s="15" t="inlineStr">
        <is>
          <t>CS</t>
        </is>
      </c>
      <c r="G108" s="11" t="n">
        <v>1</v>
      </c>
      <c r="H108" s="10" t="inlineStr">
        <is>
          <t>ADET</t>
        </is>
      </c>
      <c r="I108" s="10" t="n">
        <v>3</v>
      </c>
      <c r="J108" s="20">
        <f>+E108*I108*G108</f>
        <v/>
      </c>
      <c r="K108" s="10" t="n"/>
      <c r="L108" s="12" t="inlineStr">
        <is>
          <t>FITTING</t>
        </is>
      </c>
      <c r="N108" s="26" t="inlineStr">
        <is>
          <t>4", FLANGE BLIND, 150 LB, RF, ASME B16.5, ASTM A234 GR WPB, 150</t>
        </is>
      </c>
    </row>
    <row r="109">
      <c r="B109" s="9">
        <f>+ROW()-5</f>
        <v/>
      </c>
      <c r="C109" s="24" t="inlineStr">
        <is>
          <t>TEE, BW, ASME B16.9, ASTM A234 WPB, 20</t>
        </is>
      </c>
      <c r="D109" s="10" t="inlineStr">
        <is>
          <t>FAZ1</t>
        </is>
      </c>
      <c r="E109" s="22" t="n">
        <v>8</v>
      </c>
      <c r="F109" s="15" t="inlineStr">
        <is>
          <t>CS</t>
        </is>
      </c>
      <c r="G109" s="11" t="n">
        <v>1</v>
      </c>
      <c r="H109" s="10" t="inlineStr">
        <is>
          <t>ADET</t>
        </is>
      </c>
      <c r="I109" s="10" t="n">
        <v>3</v>
      </c>
      <c r="J109" s="20">
        <f>+E109*I109*G109</f>
        <v/>
      </c>
      <c r="K109" s="10" t="n"/>
      <c r="L109" s="12" t="inlineStr">
        <is>
          <t>FITTING</t>
        </is>
      </c>
      <c r="N109" s="26" t="inlineStr">
        <is>
          <t>4", FLANGE BLIND, 150 LB, RF, ASTM A 105, ASME B16.5, 150</t>
        </is>
      </c>
    </row>
    <row r="110">
      <c r="B110" s="9">
        <f>+ROW()-5</f>
        <v/>
      </c>
      <c r="C110" s="24" t="inlineStr">
        <is>
          <t>TEE (RED), BW, ASME B16.9, ASTM A234 WPB, 40</t>
        </is>
      </c>
      <c r="D110" s="10" t="inlineStr">
        <is>
          <t>FAZ1</t>
        </is>
      </c>
      <c r="E110" s="22" t="inlineStr">
        <is>
          <t>12x6</t>
        </is>
      </c>
      <c r="F110" s="15" t="inlineStr">
        <is>
          <t>CS</t>
        </is>
      </c>
      <c r="G110" s="11" t="n">
        <v>3</v>
      </c>
      <c r="H110" s="10" t="inlineStr">
        <is>
          <t>ADET</t>
        </is>
      </c>
      <c r="I110" s="10" t="n">
        <v>1</v>
      </c>
      <c r="J110" s="10">
        <f>+I110*(12+12+6)*G110</f>
        <v/>
      </c>
      <c r="K110" s="10" t="n"/>
      <c r="L110" s="12" t="inlineStr">
        <is>
          <t>FITTING</t>
        </is>
      </c>
      <c r="N110" s="26" t="inlineStr">
        <is>
          <t>4", FLANGE BLIND, 300 LB SCH 40, RF, ASME B16.5, ASTM A105, 300</t>
        </is>
      </c>
    </row>
    <row r="111">
      <c r="B111" s="9">
        <f>+ROW()-5</f>
        <v/>
      </c>
      <c r="C111" s="24" t="inlineStr">
        <is>
          <t>TEE (RED), BW, ASME B16.9, ASTM A234 WPB, 20</t>
        </is>
      </c>
      <c r="D111" s="10" t="inlineStr">
        <is>
          <t>FAZ1</t>
        </is>
      </c>
      <c r="E111" s="22" t="inlineStr">
        <is>
          <t>12x8</t>
        </is>
      </c>
      <c r="F111" s="15" t="inlineStr">
        <is>
          <t>CS</t>
        </is>
      </c>
      <c r="G111" s="11" t="n">
        <v>1</v>
      </c>
      <c r="H111" s="10" t="inlineStr">
        <is>
          <t>ADET</t>
        </is>
      </c>
      <c r="I111" s="10" t="n">
        <v>1</v>
      </c>
      <c r="J111" s="10">
        <f>+I111*(12+12+8)*G111</f>
        <v/>
      </c>
      <c r="K111" s="10" t="n"/>
      <c r="L111" s="12" t="inlineStr">
        <is>
          <t>FITTING</t>
        </is>
      </c>
      <c r="N111" s="26" t="inlineStr">
        <is>
          <t>6", FLANGE BLIND, 150 LB, RF, ASME B16.5, ASTM A234 GR WPB, 150</t>
        </is>
      </c>
    </row>
    <row r="112">
      <c r="B112" s="9">
        <f>+ROW()-5</f>
        <v/>
      </c>
      <c r="C112" s="24" t="inlineStr">
        <is>
          <t>TEE (RED), BW, ASME B16.9, ASTM A234 WPB, 40</t>
        </is>
      </c>
      <c r="D112" s="10" t="inlineStr">
        <is>
          <t>FAZ1</t>
        </is>
      </c>
      <c r="E112" s="22" t="inlineStr">
        <is>
          <t>12x8</t>
        </is>
      </c>
      <c r="F112" s="15" t="inlineStr">
        <is>
          <t>CS</t>
        </is>
      </c>
      <c r="G112" s="11" t="n">
        <v>2</v>
      </c>
      <c r="H112" s="10" t="inlineStr">
        <is>
          <t>ADET</t>
        </is>
      </c>
      <c r="I112" s="10" t="n">
        <v>1</v>
      </c>
      <c r="J112" s="10">
        <f>+I112*(12+12+8)*G112</f>
        <v/>
      </c>
      <c r="K112" s="10" t="n"/>
      <c r="L112" s="12" t="inlineStr">
        <is>
          <t>FITTING</t>
        </is>
      </c>
      <c r="N112" s="26" t="inlineStr">
        <is>
          <t>6", FLANGE BLIND, 150 LB, RF, ASTM A 105, ASME B16.5, 150</t>
        </is>
      </c>
    </row>
    <row r="113">
      <c r="B113" s="9">
        <f>+ROW()-5</f>
        <v/>
      </c>
      <c r="C113" s="24" t="inlineStr">
        <is>
          <t>TEE (RED), BW, ASME B16.9, ASTM A234 WPB, 20x40</t>
        </is>
      </c>
      <c r="D113" s="10" t="inlineStr">
        <is>
          <t>FAZ1</t>
        </is>
      </c>
      <c r="E113" s="22" t="inlineStr">
        <is>
          <t>8x3</t>
        </is>
      </c>
      <c r="F113" s="15" t="inlineStr">
        <is>
          <t>CS</t>
        </is>
      </c>
      <c r="G113" s="11" t="n">
        <v>2</v>
      </c>
      <c r="H113" s="10" t="inlineStr">
        <is>
          <t>ADET</t>
        </is>
      </c>
      <c r="I113" s="10" t="n">
        <v>1</v>
      </c>
      <c r="J113" s="10">
        <f>+I113*(8+8+3)*G113</f>
        <v/>
      </c>
      <c r="K113" s="10" t="n"/>
      <c r="L113" s="12" t="inlineStr">
        <is>
          <t>FITTING</t>
        </is>
      </c>
      <c r="N113" s="26" t="inlineStr">
        <is>
          <t>8", FLANGE BLIND, 150 LB, RF, ASME B16.5, ASTM A234 GR WPB, 150</t>
        </is>
      </c>
    </row>
    <row r="114">
      <c r="B114" s="9">
        <f>+ROW()-5</f>
        <v/>
      </c>
      <c r="C114" s="24" t="inlineStr">
        <is>
          <t>TEE (RED), BW, SEAMLESS, ASME B16.9, ASTM A234 GR.WPB, 40</t>
        </is>
      </c>
      <c r="D114" s="10" t="inlineStr">
        <is>
          <t>FAZ1</t>
        </is>
      </c>
      <c r="E114" s="22" t="inlineStr">
        <is>
          <t>8x4</t>
        </is>
      </c>
      <c r="F114" s="15" t="inlineStr">
        <is>
          <t>CS</t>
        </is>
      </c>
      <c r="G114" s="11" t="n">
        <v>3</v>
      </c>
      <c r="H114" s="10" t="inlineStr">
        <is>
          <t>ADET</t>
        </is>
      </c>
      <c r="I114" s="10" t="n">
        <v>1</v>
      </c>
      <c r="J114" s="10">
        <f>+I114*(8+8+4)*G114</f>
        <v/>
      </c>
      <c r="K114" s="10" t="n"/>
      <c r="L114" s="12" t="inlineStr">
        <is>
          <t>FITTING</t>
        </is>
      </c>
      <c r="N114" s="26" t="inlineStr">
        <is>
          <t>8", FLANGE BLIND, 300 LB, RF, ASME B16.5, ASTM A105, 300</t>
        </is>
      </c>
    </row>
    <row r="115" ht="15" customHeight="1">
      <c r="B115" s="19" t="n"/>
      <c r="N115" s="26" t="inlineStr">
        <is>
          <t>1 1/2", FLANGE, SOCKET WELD, 150 LB, RF, ASTM A 105, ASME B16.5, 150</t>
        </is>
      </c>
    </row>
    <row r="116">
      <c r="N116" s="26" t="inlineStr">
        <is>
          <t>1 1/4", FLANGE, SOCKET WELD, ASME B16.5, 150LB, RF, ASTM A105, ASME B16.5, 150</t>
        </is>
      </c>
    </row>
    <row r="117">
      <c r="N117" s="26" t="inlineStr">
        <is>
          <t>2", FLANGE, SOCKET WELD, ASME B16.5, 150LB, RF, ASTM A105, ASME B16.5, 150</t>
        </is>
      </c>
    </row>
    <row r="118">
      <c r="N118" s="26" t="inlineStr">
        <is>
          <t>12", FLANGE, WELDING NECK, 150 LB SCH 40, RF, ASTM A 105, ASME B16.5, 150</t>
        </is>
      </c>
    </row>
    <row r="119">
      <c r="N119" s="26" t="inlineStr">
        <is>
          <t>12", FLANGE, WELDING NECK, ASME B16.5, 150LB SCH20, RF, ASTM A 105, ASME B16.5, 150</t>
        </is>
      </c>
    </row>
    <row r="120">
      <c r="N120" s="26" t="inlineStr">
        <is>
          <t>2 1/2", FLANGE, WELDING NECK, 150 LB SCH 40, RF, ASTM A105, ASME B16.5, 150</t>
        </is>
      </c>
    </row>
    <row r="121">
      <c r="N121" s="26" t="inlineStr">
        <is>
          <t>2", FLANGE, WELDING NECK, ASTM A105, 300LB SCH 80 , RF, ASME B16.5, 300</t>
        </is>
      </c>
    </row>
    <row r="122">
      <c r="N122" s="26" t="inlineStr">
        <is>
          <t>3", FLANGE, WELDING NECK, ASME B16.5, 150LB SCH40, RF, ASTM A 105, ASME B16.5, 150</t>
        </is>
      </c>
    </row>
    <row r="123">
      <c r="N123" s="26" t="inlineStr">
        <is>
          <t>4", FLANGE, WELDING NECK, 150 LB SCH 40, RF, ASTM A 105, ASME B16.5, 150</t>
        </is>
      </c>
    </row>
    <row r="124">
      <c r="N124" s="26" t="inlineStr">
        <is>
          <t>4", FLANGE, WELDING NECK, ASME B16.5, 150LB SCH20, RF, ASTM A 105, ASME B16.5, 150</t>
        </is>
      </c>
    </row>
    <row r="125">
      <c r="N125" s="26" t="inlineStr">
        <is>
          <t>4", FLANGE, WELDING NECK, ASTM A105, 300LB SCH 40 , RF, ASME B16.5, 300</t>
        </is>
      </c>
    </row>
    <row r="126">
      <c r="N126" s="26" t="inlineStr">
        <is>
          <t>6", FLANGE, WELDING NECK, 150 LB SCH 40, RF, ASTM A 105, ASME B16.5, 150</t>
        </is>
      </c>
    </row>
    <row r="127">
      <c r="N127" s="26" t="inlineStr">
        <is>
          <t>8", FLANGE, WELDING NECK, 150 LB SCH 40, RF, ASTM A 105, ASME B16.5, 150</t>
        </is>
      </c>
    </row>
    <row r="128">
      <c r="N128" s="26" t="inlineStr">
        <is>
          <t>8", FLANGE, WELDING NECK, ASTM A105, 300LB SCH 40 , RF, ASME B16.5, 300</t>
        </is>
      </c>
    </row>
    <row r="129">
      <c r="N129" s="26" t="inlineStr">
        <is>
          <t>1 1/2", SPIRAL WOUND GASKET, 304 / GRAPHITE \U+2013 CS, CENTERING RING, 4.5 MM, 150LB, RF , ASME B16.20, 150</t>
        </is>
      </c>
    </row>
    <row r="130">
      <c r="N130" s="26" t="inlineStr">
        <is>
          <t>1 1/4", SPIRAL WOUND GASKET, 304 / GRAPHITE \U+2013 CS, CENTERING RING, 4.5 MM, 150LB, RF , ASME B16.20, 150</t>
        </is>
      </c>
    </row>
    <row r="131">
      <c r="N131" s="26" t="inlineStr">
        <is>
          <t>12", SPIRAL WOUND GASKET, 304 / GRAPHITE \U+2013 CS, CENTERING RING, 4.5 MM, 150LB, RF , ASME B16.20, 150</t>
        </is>
      </c>
    </row>
    <row r="132">
      <c r="N132" s="26" t="inlineStr">
        <is>
          <t>2 1/2", SPIRAL WOUND GASKET, 304 / GRAPHITE \U+2013 CS, CENTERING RING, 4.5 MM, 150LB, RF , ASME B16.20, 150</t>
        </is>
      </c>
    </row>
    <row r="133">
      <c r="N133" s="26" t="inlineStr">
        <is>
          <t>2", SPIRAL WOUND GASKET, 304 / GRAPHITE \U+2013 CS, CENTERING RING, 4.5 MM, 150LB, RF , ASME B16.20, 150</t>
        </is>
      </c>
    </row>
    <row r="134">
      <c r="N134" s="26" t="inlineStr">
        <is>
          <t>2", SPIRAL WOUND GASKET, 304 / GRAPHITE \U+2013 CS, CENTERING RING, 4.5 MM, 150LB, RF , ASME B16.20, 300</t>
        </is>
      </c>
    </row>
    <row r="135">
      <c r="N135" s="26" t="inlineStr">
        <is>
          <t>3", SPIRAL WOUND GASKET, 304 / GRAPHITE \U+2013 CS, CENTERING RING, 4.5 MM, 150LB, RF , ASME B16.20, 150</t>
        </is>
      </c>
    </row>
    <row r="136">
      <c r="N136" s="26" t="inlineStr">
        <is>
          <t>4", SPIRAL WOUND GASKET, 304 / GRAPHITE \U+2013 CS, CENTERING RING, 4.5 MM, 150LB, RF , ASME B16.20, 150</t>
        </is>
      </c>
    </row>
    <row r="137">
      <c r="N137" s="27" t="inlineStr">
        <is>
          <t>4", SPIRAL WOUND GASKET, 304 / GRAPHITE \U+2013 CS, CENTERING RING, 4.5 MM, 300LB, RF , ASME B16.20, 300</t>
        </is>
      </c>
    </row>
    <row r="138">
      <c r="N138" s="26" t="inlineStr">
        <is>
          <t>6", SPIRAL WOUND GASKET, 304 / GRAPHITE \U+2013 CS, CENTERING RING, 4.5 MM, 150LB, RF , ASME B16.20, 150</t>
        </is>
      </c>
    </row>
    <row r="139">
      <c r="N139" s="26" t="inlineStr">
        <is>
          <t>8", SPIRAL WOUND GASKET, 304 / GRAPHITE \U+2013 CS, CENTERING RING, 4.5 MM, 150LB, RF , ASME B16.20, 150</t>
        </is>
      </c>
    </row>
    <row r="140">
      <c r="N140" s="27" t="inlineStr">
        <is>
          <t>8", SPIRAL WOUND GASKET, 304 / GRAPHITE \U+2013 CS, CENTERING RING, 4.5 MM, 300LB, RF , ASME B16.20, 300</t>
        </is>
      </c>
    </row>
    <row r="141">
      <c r="N141" s="26" t="inlineStr">
        <is>
          <t>1/2", NIPPLE, ASTM A106 GRB OR A53 GRB, SAME AS PIPE, TOE (PEXTHD), L=100MM, ASME B36.10, 80</t>
        </is>
      </c>
    </row>
    <row r="142">
      <c r="N142" s="27" t="inlineStr">
        <is>
          <t>1/2", NIPPLE, ASTM A106 GRB OR A53 GRB, SAME AS PIPE, TOE (PEXTHD), L=100MM, ASME B36.10, 80</t>
        </is>
      </c>
    </row>
    <row r="143">
      <c r="N143" s="26" t="inlineStr">
        <is>
          <t>1/2", NIPPLE, ASTM A53 GRB, SAME AS PIPE, TOE (PEXTHD), L=100MM, ASME B36.10, 160</t>
        </is>
      </c>
    </row>
    <row r="144">
      <c r="N144" s="26" t="inlineStr">
        <is>
          <t>12"x2", SOCKOLET,  SW, 3000 LB, MSS SP97, ASTM A105, 3000</t>
        </is>
      </c>
    </row>
    <row r="145">
      <c r="N145" s="26" t="inlineStr">
        <is>
          <t>12"x3/4", SOCKOLET,  SW, 3000 LB, MSS SP97, ASTM A105, 3000</t>
        </is>
      </c>
    </row>
    <row r="146">
      <c r="N146" s="26" t="inlineStr">
        <is>
          <t>3"x1/2", SOCKOLET,  SW, 3000 LB, MSS SP97, ASTM A105, 3000</t>
        </is>
      </c>
    </row>
    <row r="147">
      <c r="N147" s="26" t="inlineStr">
        <is>
          <t>3"x3/4", SOCKOLET,  SW, 3000 LB, MSS SP97, ASTM A105, 3000</t>
        </is>
      </c>
    </row>
    <row r="148">
      <c r="N148" s="26" t="inlineStr">
        <is>
          <t>4"x1/2", SOCKOLET,  SW, 3000 LB, MSS SP97, ASTM A105, 3000</t>
        </is>
      </c>
    </row>
    <row r="149">
      <c r="N149" s="26" t="inlineStr">
        <is>
          <t>4"x1/2", SOCKOLET, SW, 6000LB, MSS SP97, ASTM A105, 6000</t>
        </is>
      </c>
    </row>
    <row r="150">
      <c r="N150" s="26" t="inlineStr">
        <is>
          <t>4"x3/4", SOCKOLET,  SW, 3000 LB, MSS SP97, ASTM A105, 3000</t>
        </is>
      </c>
    </row>
    <row r="151">
      <c r="N151" s="26" t="inlineStr">
        <is>
          <t>4"x3/4", SOCKOLET, SW, 6000LB, MSS SP97, ASTM A105, 6000</t>
        </is>
      </c>
    </row>
    <row r="152">
      <c r="N152" s="26" t="inlineStr">
        <is>
          <t>6"x1/2", SOCKOLET,  SW, 3000 LB, MSS SP97, ASTM A105, 3000</t>
        </is>
      </c>
    </row>
    <row r="153">
      <c r="N153" s="26" t="inlineStr">
        <is>
          <t>6"x3/4", SOCKOLET,  SW, 3000 LB, MSS SP97, ASTM A105, 3000</t>
        </is>
      </c>
    </row>
    <row r="154">
      <c r="N154" s="26" t="inlineStr">
        <is>
          <t>4"x1/2", THREADOLET, ASTM A105, 3000LB, THREADED FEMALE ENDS, MSS SP97., 3000</t>
        </is>
      </c>
    </row>
    <row r="155">
      <c r="N155" s="26" t="inlineStr">
        <is>
          <t>6"x1/2", THREADOLET, ASTM A105, 3000LB, THREADED FEMALE ENDS, MSS SP97., 3000</t>
        </is>
      </c>
    </row>
    <row r="156">
      <c r="N156" s="26" t="inlineStr">
        <is>
          <t>12"x4", WELDOLET, BW/SW, ASTM A234 WPB/ ASTM A105, SCH STD, MSS SP-97, STD</t>
        </is>
      </c>
    </row>
    <row r="157">
      <c r="N157" s="26" t="inlineStr">
        <is>
          <t>1 1/2", PIPE, ASTM A 106 GR.B OR ASTM A53 GR.B, ASME B36.10, SEAMLESS, PLAIN ENDS, 80</t>
        </is>
      </c>
    </row>
    <row r="158">
      <c r="N158" s="26" t="inlineStr">
        <is>
          <t>1 1/4", PIPE, ASTM A 106 GR.B OR ASTM A53 GR.B, ASME B36.10, SEAMLESS, PLAIN ENDS, 80</t>
        </is>
      </c>
    </row>
    <row r="159">
      <c r="N159" s="26" t="inlineStr">
        <is>
          <t>2", PIPE, ASTM A 106 GR.B OR ASTM A53 GR.B, ASME B36.10, SEAMLESS, PLAIN ENDS, 80</t>
        </is>
      </c>
    </row>
    <row r="160">
      <c r="N160" s="26" t="inlineStr">
        <is>
          <t>3/4", PIPE, ASTM A 106 GR.B OR ASTM A53 GR.B, ASME B36.10, SEAMLESS, PLAIN ENDS, 80</t>
        </is>
      </c>
    </row>
    <row r="161">
      <c r="N161" s="26" t="inlineStr">
        <is>
          <t>3/4", PIPE, SEAMLESS, ASTM A53-GR.B, PE, ASME B36.10, 160</t>
        </is>
      </c>
    </row>
    <row r="162">
      <c r="N162" s="26" t="inlineStr">
        <is>
          <t>4", PIPE, SEAMLESS, ASTM A53-GR.B, BE, ASME B36.10, 40</t>
        </is>
      </c>
    </row>
    <row r="163">
      <c r="N163" s="26" t="inlineStr">
        <is>
          <t>8", PIPE, SEAMLESS, ASTM A53-GR.B, BE, ASME B36.10, 40</t>
        </is>
      </c>
    </row>
    <row r="164">
      <c r="N164" s="26" t="inlineStr">
        <is>
          <t>12", PIPE, ASTM A 106 GR.B OR API 5L GR B PSL1, ASME 36.10, SAW-SAWL, BEVELED ENDS, 20</t>
        </is>
      </c>
    </row>
    <row r="165">
      <c r="N165" s="26" t="inlineStr">
        <is>
          <t>12", PIPE, ASTM A 106 GR.B OR ASTM A53 GR.B, ASME B36.10, SAW-SAWL, BEVELED ENDS, 40</t>
        </is>
      </c>
    </row>
    <row r="166">
      <c r="N166" s="26" t="inlineStr">
        <is>
          <t>3", PIPE, ASTM A 106 GR.B OR ASTM A53 GR.B, ASME B36.10, SAW-SAWL, BEVELED ENDS, 40</t>
        </is>
      </c>
    </row>
    <row r="167">
      <c r="N167" s="26" t="inlineStr">
        <is>
          <t>4", PIPE, ASTM A 106 GR.B OR ASTM A53 GR.B, ASME B36.10, SAW-SAWL, BEVELED ENDS, 40</t>
        </is>
      </c>
    </row>
    <row r="168">
      <c r="N168" s="26" t="inlineStr">
        <is>
          <t>6", PIPE, ASTM A 106 GR.B OR ASTM A53 GR.B, ASME B36.10, SAW-SAWL, BEVELED ENDS, 40</t>
        </is>
      </c>
    </row>
    <row r="169">
      <c r="N169" s="26" t="inlineStr">
        <is>
          <t>8", PIPE, ASTM A 106 GR.B OR API 5L GR B PSL1, ASME 36.10, SAW-SAWL, BEVELED ENDS, 20</t>
        </is>
      </c>
    </row>
    <row r="170">
      <c r="N170" s="26" t="inlineStr">
        <is>
          <t>8", PIPE, ASTM A 106 GR.B OR ASTM A53 GR.B, ASME B36.10, SAW-SAWL, BEVELED ENDS, 40</t>
        </is>
      </c>
    </row>
    <row r="171">
      <c r="N171" s="26" t="inlineStr">
        <is>
          <t>2", PLUG, ROUND HEAD, ASTM A105, 3000LB, THDM, ASME B16.11, 3000</t>
        </is>
      </c>
    </row>
    <row r="172">
      <c r="N172" s="26" t="inlineStr">
        <is>
          <t>3/4", PLUG, ROUND HEAD, ASTM A105, 3000LB, THDM, ASME B16.11, 3000</t>
        </is>
      </c>
    </row>
    <row r="173">
      <c r="N173" s="26" t="inlineStr">
        <is>
          <t>3"x1 1/4", REDUCER (CONC), BW, ASME B16.9, ASTM A234 GR.WPB, 40X80</t>
        </is>
      </c>
    </row>
    <row r="174">
      <c r="N174" s="26" t="inlineStr">
        <is>
          <t>4"x1 1/2", REDUCER (CONC), BW, ASME B16.9, ASTM A234 GR.WPB, 40X80</t>
        </is>
      </c>
    </row>
    <row r="175">
      <c r="N175" s="26" t="inlineStr">
        <is>
          <t>4"x2", REDUCER (CONC), BW, SMLS, ASME B16.9, ASTM A234 GR.WPB, 40X80</t>
        </is>
      </c>
    </row>
    <row r="176">
      <c r="N176" s="26" t="inlineStr">
        <is>
          <t>12"x6", REDUCER (ECC), BW, ASME B16.9, ASTM A234 WPB, 20x40</t>
        </is>
      </c>
    </row>
    <row r="177">
      <c r="N177" s="26" t="inlineStr">
        <is>
          <t>4"x2", REDUCER (ECC), BW, ASME B16.9, ASTM A234 WPB, 40X80</t>
        </is>
      </c>
    </row>
    <row r="178">
      <c r="N178" s="26" t="inlineStr">
        <is>
          <t>6"x2 1/2", REDUCER (ECC), BW, ASME B16.9, ASTM A234 WPB, 40</t>
        </is>
      </c>
    </row>
    <row r="179">
      <c r="N179" s="26" t="inlineStr">
        <is>
          <t>12", TEE, BW, ASME B16.9, ASTM A234 WPB, 20</t>
        </is>
      </c>
    </row>
    <row r="180">
      <c r="N180" s="26" t="inlineStr">
        <is>
          <t>12", TEE, BW, ASME B16.9, ASTM A234 WPB, 40</t>
        </is>
      </c>
    </row>
    <row r="181">
      <c r="N181" s="26" t="inlineStr">
        <is>
          <t>4", TEE, BW, ASME B16.9, ASTM A234 WPB, 40</t>
        </is>
      </c>
    </row>
    <row r="182">
      <c r="N182" s="26" t="inlineStr">
        <is>
          <t>8", TEE, BW, ASME B16.9, ASTM A234 WPB, 20</t>
        </is>
      </c>
    </row>
    <row r="183">
      <c r="N183" s="26" t="inlineStr">
        <is>
          <t>12"x6", TEE (RED), BW, ASME B16.9, ASTM A234 WPB, 40</t>
        </is>
      </c>
    </row>
    <row r="184">
      <c r="N184" s="26" t="inlineStr">
        <is>
          <t>12"x8", TEE (RED), BW, ASME B16.9, ASTM A234 WPB, 20</t>
        </is>
      </c>
    </row>
    <row r="185">
      <c r="N185" s="26" t="inlineStr">
        <is>
          <t>12"x8", TEE (RED), BW, ASME B16.9, ASTM A234 WPB, 40</t>
        </is>
      </c>
    </row>
    <row r="186">
      <c r="N186" s="26" t="inlineStr">
        <is>
          <t>8"x3", TEE (RED), BW, ASME B16.9, ASTM A234 WPB, 20x40</t>
        </is>
      </c>
    </row>
    <row r="187">
      <c r="N187" s="26" t="inlineStr">
        <is>
          <t>8"x4", TEE (RED), BW, SEAMLESS, ASME B16.9, ASTM A234 GR.WPB, 40</t>
        </is>
      </c>
    </row>
  </sheetData>
  <autoFilter ref="B5:L114"/>
  <mergeCells count="1">
    <mergeCell ref="B115:L115"/>
  </mergeCells>
  <pageMargins left="0.75" right="0.75" top="1" bottom="1" header="0.511811023622047" footer="0.511811023622047"/>
  <pageSetup orientation="portrait" paperSize="9" scale="37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2026-06-03T11:06:34Z</dcterms:created>
  <dcterms:modified xsi:type="dcterms:W3CDTF">2026-06-11T13:14:01Z</dcterms:modified>
  <cp:lastModifiedBy>Tuğberk Korkmaz</cp:lastModifiedBy>
  <cp:revision>0</cp:revision>
</cp:coreProperties>
</file>