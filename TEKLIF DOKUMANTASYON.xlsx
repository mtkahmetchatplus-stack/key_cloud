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P:\1-KEY-199_TPAO_SIRNAK_MIG\01_KEY\26-COST\WORKING\SD\OMER\"/>
    </mc:Choice>
  </mc:AlternateContent>
  <xr:revisionPtr revIDLastSave="0" documentId="13_ncr:1_{DB36FC5D-5A98-4934-8393-C2C8C09D97ED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Cover" sheetId="2" r:id="rId1"/>
    <sheet name="OZELPOZ" sheetId="1" r:id="rId2"/>
  </sheets>
  <definedNames>
    <definedName name="_xlnm._FilterDatabase" localSheetId="1" hidden="1">OZELPOZ!$C$9:$W$9</definedName>
    <definedName name="_xlnm.Print_Area" localSheetId="0">Cover!$B$2:$Q$56</definedName>
    <definedName name="_xlnm.Print_Area" localSheetId="1">OZELPOZ!$C$2:$S$204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90" i="1" l="1"/>
  <c r="R190" i="1"/>
  <c r="L190" i="1"/>
  <c r="S164" i="1" l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91" i="1"/>
  <c r="S192" i="1"/>
  <c r="S193" i="1"/>
  <c r="S194" i="1"/>
  <c r="S195" i="1"/>
  <c r="S196" i="1"/>
  <c r="S197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91" i="1"/>
  <c r="R192" i="1"/>
  <c r="R193" i="1"/>
  <c r="R194" i="1"/>
  <c r="R195" i="1"/>
  <c r="R196" i="1"/>
  <c r="R197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91" i="1"/>
  <c r="L192" i="1"/>
  <c r="L193" i="1"/>
  <c r="L194" i="1"/>
  <c r="L195" i="1"/>
  <c r="L196" i="1"/>
  <c r="L197" i="1"/>
  <c r="S84" i="1"/>
  <c r="R84" i="1"/>
  <c r="L84" i="1"/>
  <c r="S76" i="1"/>
  <c r="R76" i="1"/>
  <c r="L76" i="1"/>
  <c r="S74" i="1"/>
  <c r="R74" i="1"/>
  <c r="L74" i="1"/>
  <c r="S72" i="1"/>
  <c r="R72" i="1"/>
  <c r="L72" i="1"/>
  <c r="S204" i="1"/>
  <c r="R204" i="1"/>
  <c r="L204" i="1"/>
  <c r="S203" i="1"/>
  <c r="R203" i="1"/>
  <c r="L203" i="1"/>
  <c r="S202" i="1"/>
  <c r="R202" i="1"/>
  <c r="L202" i="1"/>
  <c r="S201" i="1"/>
  <c r="R201" i="1"/>
  <c r="L201" i="1"/>
  <c r="S200" i="1"/>
  <c r="R200" i="1"/>
  <c r="L200" i="1"/>
  <c r="S199" i="1"/>
  <c r="R199" i="1"/>
  <c r="L199" i="1"/>
  <c r="S198" i="1"/>
  <c r="R198" i="1"/>
  <c r="L198" i="1"/>
  <c r="L19" i="1"/>
  <c r="R19" i="1"/>
  <c r="S19" i="1"/>
  <c r="L20" i="1"/>
  <c r="R20" i="1"/>
  <c r="S20" i="1"/>
  <c r="L21" i="1"/>
  <c r="R21" i="1"/>
  <c r="S21" i="1"/>
  <c r="L22" i="1"/>
  <c r="R22" i="1"/>
  <c r="S22" i="1"/>
  <c r="L23" i="1"/>
  <c r="R23" i="1"/>
  <c r="S23" i="1"/>
  <c r="L24" i="1"/>
  <c r="R24" i="1"/>
  <c r="S24" i="1"/>
  <c r="L25" i="1"/>
  <c r="R25" i="1"/>
  <c r="S25" i="1"/>
  <c r="L26" i="1"/>
  <c r="R26" i="1"/>
  <c r="S26" i="1"/>
  <c r="L27" i="1"/>
  <c r="R27" i="1"/>
  <c r="S27" i="1"/>
  <c r="L28" i="1"/>
  <c r="R28" i="1"/>
  <c r="S28" i="1"/>
  <c r="L29" i="1"/>
  <c r="R29" i="1"/>
  <c r="S29" i="1"/>
  <c r="L30" i="1"/>
  <c r="R30" i="1"/>
  <c r="S30" i="1"/>
  <c r="L31" i="1"/>
  <c r="R31" i="1"/>
  <c r="S31" i="1"/>
  <c r="L32" i="1"/>
  <c r="R32" i="1"/>
  <c r="S32" i="1"/>
  <c r="L33" i="1"/>
  <c r="R33" i="1"/>
  <c r="S33" i="1"/>
  <c r="L34" i="1"/>
  <c r="R34" i="1"/>
  <c r="S34" i="1"/>
  <c r="L35" i="1"/>
  <c r="R35" i="1"/>
  <c r="S35" i="1"/>
  <c r="L36" i="1"/>
  <c r="R36" i="1"/>
  <c r="S36" i="1"/>
  <c r="L37" i="1"/>
  <c r="R37" i="1"/>
  <c r="S37" i="1"/>
  <c r="L38" i="1"/>
  <c r="R38" i="1"/>
  <c r="S38" i="1"/>
  <c r="L39" i="1"/>
  <c r="R39" i="1"/>
  <c r="S39" i="1"/>
  <c r="L40" i="1"/>
  <c r="R40" i="1"/>
  <c r="S40" i="1"/>
  <c r="L41" i="1"/>
  <c r="R41" i="1"/>
  <c r="S41" i="1"/>
  <c r="L42" i="1"/>
  <c r="R42" i="1"/>
  <c r="S42" i="1"/>
  <c r="L43" i="1"/>
  <c r="R43" i="1"/>
  <c r="S43" i="1"/>
  <c r="L44" i="1"/>
  <c r="R44" i="1"/>
  <c r="S44" i="1"/>
  <c r="L45" i="1"/>
  <c r="R45" i="1"/>
  <c r="S45" i="1"/>
  <c r="L46" i="1"/>
  <c r="R46" i="1"/>
  <c r="S46" i="1"/>
  <c r="L47" i="1"/>
  <c r="R47" i="1"/>
  <c r="S47" i="1"/>
  <c r="L48" i="1"/>
  <c r="R48" i="1"/>
  <c r="S48" i="1"/>
  <c r="L49" i="1"/>
  <c r="R49" i="1"/>
  <c r="S49" i="1"/>
  <c r="L50" i="1"/>
  <c r="R50" i="1"/>
  <c r="S50" i="1"/>
  <c r="L51" i="1"/>
  <c r="R51" i="1"/>
  <c r="S51" i="1"/>
  <c r="L52" i="1"/>
  <c r="R52" i="1"/>
  <c r="S52" i="1"/>
  <c r="L53" i="1"/>
  <c r="R53" i="1"/>
  <c r="S53" i="1"/>
  <c r="L54" i="1"/>
  <c r="R54" i="1"/>
  <c r="S54" i="1"/>
  <c r="L55" i="1"/>
  <c r="R55" i="1"/>
  <c r="S55" i="1"/>
  <c r="L56" i="1"/>
  <c r="R56" i="1"/>
  <c r="S56" i="1"/>
  <c r="L57" i="1"/>
  <c r="R57" i="1"/>
  <c r="S57" i="1"/>
  <c r="L58" i="1"/>
  <c r="R58" i="1"/>
  <c r="S58" i="1"/>
  <c r="L59" i="1"/>
  <c r="R59" i="1"/>
  <c r="S59" i="1"/>
  <c r="L60" i="1"/>
  <c r="R60" i="1"/>
  <c r="S60" i="1"/>
  <c r="L61" i="1"/>
  <c r="R61" i="1"/>
  <c r="S61" i="1"/>
  <c r="L62" i="1"/>
  <c r="R62" i="1"/>
  <c r="S62" i="1"/>
  <c r="L63" i="1"/>
  <c r="R63" i="1"/>
  <c r="S63" i="1"/>
  <c r="L64" i="1"/>
  <c r="R64" i="1"/>
  <c r="S64" i="1"/>
  <c r="L65" i="1"/>
  <c r="R65" i="1"/>
  <c r="S65" i="1"/>
  <c r="L66" i="1"/>
  <c r="R66" i="1"/>
  <c r="S66" i="1"/>
  <c r="L67" i="1"/>
  <c r="R67" i="1"/>
  <c r="S67" i="1"/>
  <c r="L68" i="1"/>
  <c r="R68" i="1"/>
  <c r="S68" i="1"/>
  <c r="L69" i="1"/>
  <c r="R69" i="1"/>
  <c r="S69" i="1"/>
  <c r="L70" i="1"/>
  <c r="R70" i="1"/>
  <c r="S70" i="1"/>
  <c r="L71" i="1"/>
  <c r="R71" i="1"/>
  <c r="S71" i="1"/>
  <c r="L73" i="1"/>
  <c r="R73" i="1"/>
  <c r="S73" i="1"/>
  <c r="L75" i="1"/>
  <c r="R75" i="1"/>
  <c r="S75" i="1"/>
  <c r="L77" i="1"/>
  <c r="R77" i="1"/>
  <c r="S77" i="1"/>
  <c r="L78" i="1"/>
  <c r="R78" i="1"/>
  <c r="S78" i="1"/>
  <c r="L79" i="1"/>
  <c r="R79" i="1"/>
  <c r="S79" i="1"/>
  <c r="L80" i="1"/>
  <c r="R80" i="1"/>
  <c r="S80" i="1"/>
  <c r="L81" i="1"/>
  <c r="R81" i="1"/>
  <c r="S81" i="1"/>
  <c r="L82" i="1"/>
  <c r="R82" i="1"/>
  <c r="S82" i="1"/>
  <c r="L83" i="1"/>
  <c r="R83" i="1"/>
  <c r="S83" i="1"/>
  <c r="L85" i="1"/>
  <c r="R85" i="1"/>
  <c r="S85" i="1"/>
  <c r="L86" i="1"/>
  <c r="R86" i="1"/>
  <c r="S86" i="1"/>
  <c r="L87" i="1"/>
  <c r="R87" i="1"/>
  <c r="S87" i="1"/>
  <c r="L88" i="1"/>
  <c r="R88" i="1"/>
  <c r="S88" i="1"/>
  <c r="L89" i="1"/>
  <c r="R89" i="1"/>
  <c r="S89" i="1"/>
  <c r="L90" i="1"/>
  <c r="R90" i="1"/>
  <c r="S90" i="1"/>
  <c r="L91" i="1"/>
  <c r="R91" i="1"/>
  <c r="S91" i="1"/>
  <c r="L92" i="1"/>
  <c r="R92" i="1"/>
  <c r="S92" i="1"/>
  <c r="L93" i="1"/>
  <c r="R93" i="1"/>
  <c r="S93" i="1"/>
  <c r="L94" i="1"/>
  <c r="R94" i="1"/>
  <c r="S94" i="1"/>
  <c r="L95" i="1"/>
  <c r="R95" i="1"/>
  <c r="S95" i="1"/>
  <c r="L96" i="1"/>
  <c r="R96" i="1"/>
  <c r="S96" i="1"/>
  <c r="L97" i="1"/>
  <c r="R97" i="1"/>
  <c r="S97" i="1"/>
  <c r="L98" i="1"/>
  <c r="R98" i="1"/>
  <c r="S98" i="1"/>
  <c r="L99" i="1"/>
  <c r="R99" i="1"/>
  <c r="S99" i="1"/>
  <c r="L100" i="1"/>
  <c r="R100" i="1"/>
  <c r="S100" i="1"/>
  <c r="L101" i="1"/>
  <c r="R101" i="1"/>
  <c r="S101" i="1"/>
  <c r="L102" i="1"/>
  <c r="R102" i="1"/>
  <c r="S102" i="1"/>
  <c r="L103" i="1"/>
  <c r="R103" i="1"/>
  <c r="S103" i="1"/>
  <c r="L104" i="1"/>
  <c r="R104" i="1"/>
  <c r="S104" i="1"/>
  <c r="L105" i="1"/>
  <c r="R105" i="1"/>
  <c r="S105" i="1"/>
  <c r="L106" i="1"/>
  <c r="R106" i="1"/>
  <c r="S106" i="1"/>
  <c r="L107" i="1"/>
  <c r="R107" i="1"/>
  <c r="S107" i="1"/>
  <c r="L108" i="1"/>
  <c r="R108" i="1"/>
  <c r="S108" i="1"/>
  <c r="L109" i="1"/>
  <c r="R109" i="1"/>
  <c r="S109" i="1"/>
  <c r="L110" i="1"/>
  <c r="R110" i="1"/>
  <c r="S110" i="1"/>
  <c r="L111" i="1"/>
  <c r="R111" i="1"/>
  <c r="S111" i="1"/>
  <c r="L112" i="1"/>
  <c r="R112" i="1"/>
  <c r="S112" i="1"/>
  <c r="L113" i="1"/>
  <c r="R113" i="1"/>
  <c r="S113" i="1"/>
  <c r="L114" i="1"/>
  <c r="R114" i="1"/>
  <c r="S114" i="1"/>
  <c r="L115" i="1"/>
  <c r="R115" i="1"/>
  <c r="S115" i="1"/>
  <c r="L116" i="1"/>
  <c r="R116" i="1"/>
  <c r="S116" i="1"/>
  <c r="L117" i="1"/>
  <c r="R117" i="1"/>
  <c r="S117" i="1"/>
  <c r="L118" i="1"/>
  <c r="R118" i="1"/>
  <c r="S118" i="1"/>
  <c r="L119" i="1"/>
  <c r="R119" i="1"/>
  <c r="S119" i="1"/>
  <c r="L120" i="1"/>
  <c r="R120" i="1"/>
  <c r="S120" i="1"/>
  <c r="L121" i="1"/>
  <c r="R121" i="1"/>
  <c r="S121" i="1"/>
  <c r="L122" i="1"/>
  <c r="R122" i="1"/>
  <c r="S122" i="1"/>
  <c r="L123" i="1"/>
  <c r="R123" i="1"/>
  <c r="S123" i="1"/>
  <c r="L124" i="1"/>
  <c r="R124" i="1"/>
  <c r="S124" i="1"/>
  <c r="L125" i="1"/>
  <c r="R125" i="1"/>
  <c r="S125" i="1"/>
  <c r="L126" i="1"/>
  <c r="R126" i="1"/>
  <c r="S126" i="1"/>
  <c r="L127" i="1"/>
  <c r="R127" i="1"/>
  <c r="S127" i="1"/>
  <c r="L128" i="1"/>
  <c r="R128" i="1"/>
  <c r="S128" i="1"/>
  <c r="L129" i="1"/>
  <c r="R129" i="1"/>
  <c r="S129" i="1"/>
  <c r="L130" i="1"/>
  <c r="R130" i="1"/>
  <c r="S130" i="1"/>
  <c r="L131" i="1"/>
  <c r="R131" i="1"/>
  <c r="S131" i="1"/>
  <c r="L132" i="1"/>
  <c r="R132" i="1"/>
  <c r="S132" i="1"/>
  <c r="L133" i="1"/>
  <c r="R133" i="1"/>
  <c r="S133" i="1"/>
  <c r="L134" i="1"/>
  <c r="R134" i="1"/>
  <c r="S134" i="1"/>
  <c r="L135" i="1"/>
  <c r="R135" i="1"/>
  <c r="S135" i="1"/>
  <c r="L136" i="1"/>
  <c r="R136" i="1"/>
  <c r="S136" i="1"/>
  <c r="L137" i="1"/>
  <c r="R137" i="1"/>
  <c r="S137" i="1"/>
  <c r="L138" i="1"/>
  <c r="R138" i="1"/>
  <c r="S138" i="1"/>
  <c r="L139" i="1"/>
  <c r="R139" i="1"/>
  <c r="S139" i="1"/>
  <c r="L140" i="1"/>
  <c r="R140" i="1"/>
  <c r="S140" i="1"/>
  <c r="L141" i="1"/>
  <c r="R141" i="1"/>
  <c r="S141" i="1"/>
  <c r="L142" i="1"/>
  <c r="R142" i="1"/>
  <c r="S142" i="1"/>
  <c r="L143" i="1"/>
  <c r="R143" i="1"/>
  <c r="S143" i="1"/>
  <c r="L144" i="1"/>
  <c r="R144" i="1"/>
  <c r="S144" i="1"/>
  <c r="L145" i="1"/>
  <c r="R145" i="1"/>
  <c r="S145" i="1"/>
  <c r="L146" i="1"/>
  <c r="R146" i="1"/>
  <c r="S146" i="1"/>
  <c r="L147" i="1"/>
  <c r="R147" i="1"/>
  <c r="S147" i="1"/>
  <c r="L148" i="1"/>
  <c r="R148" i="1"/>
  <c r="S148" i="1"/>
  <c r="L149" i="1"/>
  <c r="R149" i="1"/>
  <c r="S149" i="1"/>
  <c r="L150" i="1"/>
  <c r="R150" i="1"/>
  <c r="S150" i="1"/>
  <c r="L151" i="1"/>
  <c r="R151" i="1"/>
  <c r="S151" i="1"/>
  <c r="L152" i="1"/>
  <c r="R152" i="1"/>
  <c r="S152" i="1"/>
  <c r="L153" i="1"/>
  <c r="R153" i="1"/>
  <c r="S153" i="1"/>
  <c r="L154" i="1"/>
  <c r="R154" i="1"/>
  <c r="S154" i="1"/>
  <c r="L155" i="1"/>
  <c r="R155" i="1"/>
  <c r="S155" i="1"/>
  <c r="L156" i="1"/>
  <c r="R156" i="1"/>
  <c r="S156" i="1"/>
  <c r="L157" i="1"/>
  <c r="R157" i="1"/>
  <c r="S157" i="1"/>
  <c r="L158" i="1"/>
  <c r="R158" i="1"/>
  <c r="S158" i="1"/>
  <c r="L159" i="1"/>
  <c r="R159" i="1"/>
  <c r="S159" i="1"/>
  <c r="L160" i="1"/>
  <c r="R160" i="1"/>
  <c r="S160" i="1"/>
  <c r="L161" i="1"/>
  <c r="R161" i="1"/>
  <c r="S161" i="1"/>
  <c r="L162" i="1"/>
  <c r="R162" i="1"/>
  <c r="S162" i="1"/>
  <c r="L163" i="1"/>
  <c r="R163" i="1"/>
  <c r="S163" i="1"/>
  <c r="S18" i="1"/>
  <c r="R18" i="1"/>
  <c r="L18" i="1"/>
  <c r="S17" i="1"/>
  <c r="R17" i="1"/>
  <c r="L17" i="1"/>
  <c r="S16" i="1"/>
  <c r="R16" i="1"/>
  <c r="L16" i="1"/>
  <c r="S15" i="1"/>
  <c r="R15" i="1"/>
  <c r="L15" i="1"/>
  <c r="S14" i="1"/>
  <c r="R14" i="1"/>
  <c r="L14" i="1"/>
  <c r="S13" i="1"/>
  <c r="R13" i="1"/>
  <c r="L13" i="1"/>
  <c r="S12" i="1"/>
  <c r="R12" i="1"/>
  <c r="L12" i="1"/>
  <c r="S11" i="1"/>
  <c r="R11" i="1"/>
  <c r="L11" i="1"/>
  <c r="S10" i="1"/>
  <c r="R10" i="1"/>
  <c r="L10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<sst xmlns="http://schemas.openxmlformats.org/spreadsheetml/2006/main" count="409" uniqueCount="401">
  <si>
    <t xml:space="preserve">TÜRKİYE PETROLLERİ A.O.     </t>
  </si>
  <si>
    <t>İŞ NO : 1-KEY-199</t>
  </si>
  <si>
    <t xml:space="preserve">UNİTE :   -   </t>
  </si>
  <si>
    <t>MEHMET İRFAN GÜLER PETROL ÜRETİM İSTASYONU DETAY MÜHENDİSLİK İŞİ</t>
  </si>
  <si>
    <t>Sayfa
1of2</t>
  </si>
  <si>
    <t>REV</t>
  </si>
  <si>
    <t>AA</t>
  </si>
  <si>
    <t>ONAY İÇİN</t>
  </si>
  <si>
    <t>T.K</t>
  </si>
  <si>
    <t>E.Y</t>
  </si>
  <si>
    <t>TARİH</t>
  </si>
  <si>
    <t>AÇIKLAMA</t>
  </si>
  <si>
    <t>YAPAN</t>
  </si>
  <si>
    <t>KONTROL</t>
  </si>
  <si>
    <t>ONAY</t>
  </si>
  <si>
    <t>ÖZEL POZ TEKLİF DÖKÜMANTASYONU</t>
  </si>
  <si>
    <t>DOC. NO.:              KEY199-PRJ-COST-0003</t>
  </si>
  <si>
    <t>O.A.</t>
  </si>
  <si>
    <t>NO</t>
  </si>
  <si>
    <t>BİRİM</t>
  </si>
  <si>
    <t>MİKTAR</t>
  </si>
  <si>
    <t>ORTALAMA
FİYAT (₺)</t>
  </si>
  <si>
    <t>FİRMA 1
ADI</t>
  </si>
  <si>
    <t>FİRMA 2
ADI</t>
  </si>
  <si>
    <t>FİRMA 3
ADI</t>
  </si>
  <si>
    <t>FİRMA 4
ADI</t>
  </si>
  <si>
    <t>FİRMA 5
ADI</t>
  </si>
  <si>
    <t>EN UYGUN
FİYAT</t>
  </si>
  <si>
    <t>EN UYGUN
FİRMA</t>
  </si>
  <si>
    <t>TEKLİF 1
TEKLİF BEDELİ</t>
  </si>
  <si>
    <t>TEKLİF 2
TEKLİF BEDELİ</t>
  </si>
  <si>
    <t>TEKLİF 3
TEKLİF BEDELİ</t>
  </si>
  <si>
    <t>TEKLİF 4
TEKLİF BEDELİ</t>
  </si>
  <si>
    <t>TEKLİF 5
TEKLİF BEDELİ</t>
  </si>
  <si>
    <t xml:space="preserve">DOC. NO.: </t>
  </si>
  <si>
    <t>KEY199-PIP-MTO-0002</t>
  </si>
  <si>
    <t>Sayfa
2 of 2</t>
  </si>
  <si>
    <t>OZEL-001</t>
  </si>
  <si>
    <t>OZEL-002</t>
  </si>
  <si>
    <t>OZEL-003</t>
  </si>
  <si>
    <t>OZEL-004</t>
  </si>
  <si>
    <t>OZEL-005</t>
  </si>
  <si>
    <t>OZEL-006</t>
  </si>
  <si>
    <t>OZEL-007</t>
  </si>
  <si>
    <t>OZEL-008</t>
  </si>
  <si>
    <t>OZEL-009</t>
  </si>
  <si>
    <t>OZEL-010</t>
  </si>
  <si>
    <t>OZEL-011</t>
  </si>
  <si>
    <t>OZEL-012</t>
  </si>
  <si>
    <t>OZEL-013</t>
  </si>
  <si>
    <t>OZEL-014</t>
  </si>
  <si>
    <t>OZEL-015</t>
  </si>
  <si>
    <t>OZEL-016</t>
  </si>
  <si>
    <t>OZEL-017</t>
  </si>
  <si>
    <t>OZEL-018</t>
  </si>
  <si>
    <t>OZEL-019</t>
  </si>
  <si>
    <t>OZEL-020</t>
  </si>
  <si>
    <t>OZEL-021</t>
  </si>
  <si>
    <t>OZEL-022</t>
  </si>
  <si>
    <t>OZEL-023</t>
  </si>
  <si>
    <t>OZEL-024</t>
  </si>
  <si>
    <t>OZEL-025</t>
  </si>
  <si>
    <t>OZEL-026</t>
  </si>
  <si>
    <t>OZEL-027</t>
  </si>
  <si>
    <t>OZEL-028</t>
  </si>
  <si>
    <t>OZEL-029</t>
  </si>
  <si>
    <t>OZEL-030</t>
  </si>
  <si>
    <t>OZEL-031</t>
  </si>
  <si>
    <t>OZEL-032</t>
  </si>
  <si>
    <t>OZEL-033</t>
  </si>
  <si>
    <t>OZEL-034</t>
  </si>
  <si>
    <t>OZEL-035</t>
  </si>
  <si>
    <t>OZEL-036</t>
  </si>
  <si>
    <t>OZEL-037</t>
  </si>
  <si>
    <t>OZEL-038</t>
  </si>
  <si>
    <t>OZEL-039</t>
  </si>
  <si>
    <t>OZEL-040</t>
  </si>
  <si>
    <t>OZEL-041</t>
  </si>
  <si>
    <t>OZEL-042</t>
  </si>
  <si>
    <t>OZEL-043</t>
  </si>
  <si>
    <t>OZEL-044</t>
  </si>
  <si>
    <t>OZEL-045</t>
  </si>
  <si>
    <t>OZEL-046</t>
  </si>
  <si>
    <t>OZEL-047</t>
  </si>
  <si>
    <t>OZEL-048</t>
  </si>
  <si>
    <t>OZEL-049</t>
  </si>
  <si>
    <t>OZEL-050</t>
  </si>
  <si>
    <t>OZEL-051</t>
  </si>
  <si>
    <t>OZEL-052</t>
  </si>
  <si>
    <t>OZEL-053</t>
  </si>
  <si>
    <t>OZEL-054</t>
  </si>
  <si>
    <t>OZEL-055</t>
  </si>
  <si>
    <t>OZEL-056</t>
  </si>
  <si>
    <t>OZEL-057</t>
  </si>
  <si>
    <t>OZEL-058</t>
  </si>
  <si>
    <t>OZEL-059</t>
  </si>
  <si>
    <t>OZEL-060</t>
  </si>
  <si>
    <t>OZEL-061</t>
  </si>
  <si>
    <t>OZEL-062</t>
  </si>
  <si>
    <t>OZEL-063</t>
  </si>
  <si>
    <t>OZEL-064</t>
  </si>
  <si>
    <t>OZEL-065</t>
  </si>
  <si>
    <t>OZEL-066</t>
  </si>
  <si>
    <t>OZEL-067</t>
  </si>
  <si>
    <t>OZEL-068</t>
  </si>
  <si>
    <t>OZEL-069</t>
  </si>
  <si>
    <t>OZEL-070</t>
  </si>
  <si>
    <t>OZEL-071</t>
  </si>
  <si>
    <t>OZEL-072</t>
  </si>
  <si>
    <t>OZEL-073</t>
  </si>
  <si>
    <t>OZEL-074</t>
  </si>
  <si>
    <t>OZEL-075</t>
  </si>
  <si>
    <t>OZEL-076</t>
  </si>
  <si>
    <t>OZEL-077</t>
  </si>
  <si>
    <t>OZEL-078</t>
  </si>
  <si>
    <t>OZEL-079</t>
  </si>
  <si>
    <t>OZEL-080</t>
  </si>
  <si>
    <t>OZEL-081</t>
  </si>
  <si>
    <t>OZEL-082</t>
  </si>
  <si>
    <t>OZEL-083</t>
  </si>
  <si>
    <t>OZEL-084</t>
  </si>
  <si>
    <t>OZEL-085</t>
  </si>
  <si>
    <t>OZEL-086</t>
  </si>
  <si>
    <t>OZEL-087</t>
  </si>
  <si>
    <t>OZEL-088</t>
  </si>
  <si>
    <t>OZEL-089</t>
  </si>
  <si>
    <t>OZEL-090</t>
  </si>
  <si>
    <t>OZEL-091</t>
  </si>
  <si>
    <t>OZEL-092</t>
  </si>
  <si>
    <t>OZEL-093</t>
  </si>
  <si>
    <t>OZEL-094</t>
  </si>
  <si>
    <t>OZEL-095</t>
  </si>
  <si>
    <t>OZEL-096</t>
  </si>
  <si>
    <t>OZEL-097</t>
  </si>
  <si>
    <t>OZEL-098</t>
  </si>
  <si>
    <t>OZEL-099</t>
  </si>
  <si>
    <t>OZEL-100</t>
  </si>
  <si>
    <t>OZEL-101</t>
  </si>
  <si>
    <t>OZEL-102</t>
  </si>
  <si>
    <t>OZEL-103</t>
  </si>
  <si>
    <t>OZEL-104</t>
  </si>
  <si>
    <t>OZEL-105</t>
  </si>
  <si>
    <t>OZEL-106</t>
  </si>
  <si>
    <t>OZEL-107</t>
  </si>
  <si>
    <t>OZEL-108</t>
  </si>
  <si>
    <t>OZEL-109</t>
  </si>
  <si>
    <t>OZEL-110</t>
  </si>
  <si>
    <t>OZEL-111</t>
  </si>
  <si>
    <t>OZEL-112</t>
  </si>
  <si>
    <t>OZEL-113</t>
  </si>
  <si>
    <t>OZEL-114</t>
  </si>
  <si>
    <t>OZEL-115</t>
  </si>
  <si>
    <t>OZEL-116</t>
  </si>
  <si>
    <t>OZEL-117</t>
  </si>
  <si>
    <t>OZEL-118</t>
  </si>
  <si>
    <t>OZEL-119</t>
  </si>
  <si>
    <t>OZEL-120</t>
  </si>
  <si>
    <t>OZEL-121</t>
  </si>
  <si>
    <t>OZEL-122</t>
  </si>
  <si>
    <t>OZEL-123</t>
  </si>
  <si>
    <t>OZEL-124</t>
  </si>
  <si>
    <t>OZEL-125</t>
  </si>
  <si>
    <t>OZEL-126</t>
  </si>
  <si>
    <t>OZEL-127</t>
  </si>
  <si>
    <t>OZEL-128</t>
  </si>
  <si>
    <t>OZEL-129</t>
  </si>
  <si>
    <t>OZEL-130</t>
  </si>
  <si>
    <t>OZEL-131</t>
  </si>
  <si>
    <t>OZEL-132</t>
  </si>
  <si>
    <t>OZEL-133</t>
  </si>
  <si>
    <t>OZEL-134</t>
  </si>
  <si>
    <t>OZEL-135</t>
  </si>
  <si>
    <t>OZEL-136</t>
  </si>
  <si>
    <t>OZEL-137</t>
  </si>
  <si>
    <t>OZEL-138</t>
  </si>
  <si>
    <t>OZEL-139</t>
  </si>
  <si>
    <t>OZEL-140</t>
  </si>
  <si>
    <t>OZEL-141</t>
  </si>
  <si>
    <t>OZEL-142</t>
  </si>
  <si>
    <t>OZEL-143</t>
  </si>
  <si>
    <t>OZEL-144</t>
  </si>
  <si>
    <t>OZEL-145</t>
  </si>
  <si>
    <t>OZEL-146</t>
  </si>
  <si>
    <t>OZEL-147</t>
  </si>
  <si>
    <t>OZEL-148</t>
  </si>
  <si>
    <t>OZEL-149</t>
  </si>
  <si>
    <t>OZEL-150</t>
  </si>
  <si>
    <t>OZEL-151</t>
  </si>
  <si>
    <t>OZEL-152</t>
  </si>
  <si>
    <t>OZEL-153</t>
  </si>
  <si>
    <t>OZEL-154</t>
  </si>
  <si>
    <t>OZEL-155</t>
  </si>
  <si>
    <t>OZEL-156</t>
  </si>
  <si>
    <t>OZEL-157</t>
  </si>
  <si>
    <t>OZEL-158</t>
  </si>
  <si>
    <t>OZEL-159</t>
  </si>
  <si>
    <t>OZEL-160</t>
  </si>
  <si>
    <t>OZEL-161</t>
  </si>
  <si>
    <t>OZEL-162</t>
  </si>
  <si>
    <t>OZEL-163</t>
  </si>
  <si>
    <t>OZEL-164</t>
  </si>
  <si>
    <t>OZEL-165</t>
  </si>
  <si>
    <t>OZEL-166</t>
  </si>
  <si>
    <t>OZEL-167</t>
  </si>
  <si>
    <t>OZEL-168</t>
  </si>
  <si>
    <t>OZEL-169</t>
  </si>
  <si>
    <t>OZEL-170</t>
  </si>
  <si>
    <t>OZEL-171</t>
  </si>
  <si>
    <t>OZEL-172</t>
  </si>
  <si>
    <t>OZEL-173</t>
  </si>
  <si>
    <t>OZEL-174</t>
  </si>
  <si>
    <t>OZEL-175</t>
  </si>
  <si>
    <t>OZEL-176</t>
  </si>
  <si>
    <t>OZEL-177</t>
  </si>
  <si>
    <t>OZEL-178</t>
  </si>
  <si>
    <t>OZEL-179</t>
  </si>
  <si>
    <t>OZEL-180</t>
  </si>
  <si>
    <t>OZEL-181</t>
  </si>
  <si>
    <t>OZEL-182</t>
  </si>
  <si>
    <t>OZEL-183</t>
  </si>
  <si>
    <t>OZEL-184</t>
  </si>
  <si>
    <t>OZEL-185</t>
  </si>
  <si>
    <t>OZEL-186</t>
  </si>
  <si>
    <t>OZEL-187</t>
  </si>
  <si>
    <t>OZEL-188</t>
  </si>
  <si>
    <t>OZEL-189</t>
  </si>
  <si>
    <t>OZEL-190</t>
  </si>
  <si>
    <t>OZEL-191</t>
  </si>
  <si>
    <t>OZEL-192</t>
  </si>
  <si>
    <t>OZEL-193</t>
  </si>
  <si>
    <t>OZEL-194</t>
  </si>
  <si>
    <t>OZEL-195</t>
  </si>
  <si>
    <t>DESCRIPTION</t>
  </si>
  <si>
    <t>M14x70, CS, STUD BOLT, WITH 2 HEAVY HEXAGONAL NUTS, ASTM A193 GR.B7 / A194 GR.2H, ASME B18.2.1 / B18.2.2, -</t>
  </si>
  <si>
    <t>M14x80, CS, STUD BOLT, WITH 2 HEAVY HEXAGONAL NUTS, ASTM A193 GR.B7 / A194 GR.2H, ASME B18.2.1 / B18.2.2, -</t>
  </si>
  <si>
    <t>M16x90, CS, STUD BOLT, WITH 2 HEAVY HEXAGONAL NUTS, ASTM A193 GR.B7 / A194 GR.2H, ASME B18.2.1 / B18.2.2, -</t>
  </si>
  <si>
    <t>M16x100, CS, STUD BOLT, WITH 2 HEAVY HEXAGONAL NUTS, ASTM A193 GR.B7 / A194 GR.2H, ASME B18.2.1 / B18.2.2, -</t>
  </si>
  <si>
    <t>M20x110, CS, STUD BOLT, WITH 2 HEAVY HEXAGONAL NUTS, ASTM A193 GR.B7 / A194 GR.2H, ASME B18.2.1 / B18.2.2, -</t>
  </si>
  <si>
    <t>M20x120, CS, STUD BOLT, WITH 2 HEAVY HEXAGONAL NUTS, ASTM A193 GR.B7 / A194 GR.2H, ASME B18.2.1 / B18.2.2, -</t>
  </si>
  <si>
    <t>M24x130, CS, STUD BOLT, WITH 2 HEAVY HEXAGONAL NUTS, ASTM A193 GR.B7 / A194 GR.2H, ASME B18.2.1 / B18.2.2, -</t>
  </si>
  <si>
    <t>12", CS, ELBOW 45, BW, ASME B16.9, ASTM A234 WPB, 20</t>
  </si>
  <si>
    <t>12", CS, ELBOW 45, BW, ASME B16.9, ASTM A234 WPB, 40</t>
  </si>
  <si>
    <t>8", CS, ELBOW 45, BW, ASME B16.9, ASTM A234 WPB, 20</t>
  </si>
  <si>
    <t>8", CS, ELBOW 45, BW, ASME B16.9, ASTM A234 WPB, 40</t>
  </si>
  <si>
    <t>12", CS, ELBOW 90, BW, ASME B16.9, ASTM A234 GR.WPB, 20</t>
  </si>
  <si>
    <t>12", CS, ELBOW 90, BW, ASME B16.9, ASTM A234 GR.WPB, 40</t>
  </si>
  <si>
    <t>3", CS, ELBOW 90, BW, ASME B16.9, ASTM A234 GR.WPB, 40</t>
  </si>
  <si>
    <t>3/4", CS, ELBOW 90, SW, 3000 LB, ASME B16.11, ASTM A105, 3000</t>
  </si>
  <si>
    <t>4", CS, ELBOW 90, BW, ASME B16.9, ASTM A234 GR.WPB, 40</t>
  </si>
  <si>
    <t>4", CS, ELBOW 90, BW, SEAMLESS, ASME B16.9, ASTM A234 GR.WPB, 40</t>
  </si>
  <si>
    <t>6", CS, ELBOW 90, BW, ASME B16.9, ASTM A234 GR.WPB, 40</t>
  </si>
  <si>
    <t>8", CS, ELBOW 90, BW, ASME B16.9, ASTM A234 GR.WPB, 20</t>
  </si>
  <si>
    <t>8", CS, ELBOW 90, BW, ASME B16.9, ASTM A234 GR.WPB, 40</t>
  </si>
  <si>
    <t>8", CS, ELBOW 90, BW, SEAMLESS, ASME B16.9, ASTM A234 GR.WPB, 40</t>
  </si>
  <si>
    <t>12", CS, FLANGE BLIND, 150 LB, RF, ASME B16.5, ASTM A234 GR WPB, 150</t>
  </si>
  <si>
    <t>12", CS, FLANGE BLIND, 150 LB, RF, ASTM A 105, ASME B16.5, 150</t>
  </si>
  <si>
    <t>3", CS, FLANGE BLIND, 150 LB, RF, ASME B16.5, ASTM A234 GR WPB, 150</t>
  </si>
  <si>
    <t>4", CS, FLANGE BLIND, 150 LB, RF, ASME B16.5, ASTM A234 GR WPB, 150</t>
  </si>
  <si>
    <t>4", CS, FLANGE BLIND, 150 LB, RF, ASTM A 105, ASME B16.5, 150</t>
  </si>
  <si>
    <t>4", CS, FLANGE BLIND, 300 LB SCH 40, RF, ASME B16.5, ASTM A105, 300</t>
  </si>
  <si>
    <t>6", CS, FLANGE BLIND, 150 LB, RF, ASME B16.5, ASTM A234 GR WPB, 150</t>
  </si>
  <si>
    <t>6", CS, FLANGE BLIND, 150 LB, RF, ASTM A 105, ASME B16.5, 150</t>
  </si>
  <si>
    <t>8", CS, FLANGE BLIND, 150 LB, RF, ASME B16.5, ASTM A234 GR WPB, 150</t>
  </si>
  <si>
    <t>8", CS, FLANGE BLIND, 300 LB, RF, ASME B16.5, ASTM A105, 300</t>
  </si>
  <si>
    <t>1 1/2", CS, FLANGE, SOCKET WELD, 150 LB, RF, ASTM A 105, ASME B16.5, 150</t>
  </si>
  <si>
    <t>1 1/4", CS, FLANGE, SOCKET WELD, ASME B16.5, 150LB, RF, ASTM A105, ASME B16.5, 150</t>
  </si>
  <si>
    <t>2", CS, FLANGE, SOCKET WELD, ASME B16.5, 150LB, RF, ASTM A105, ASME B16.5, 150</t>
  </si>
  <si>
    <t>12", CS, FLANGE, WELDING NECK, 150 LB SCH 40, RF, ASTM A 105, ASME B16.5, 150</t>
  </si>
  <si>
    <t>12", CS, FLANGE, WELDING NECK, ASME B16.5, 150LB SCH20, RF, ASTM A 105, ASME B16.5, 150</t>
  </si>
  <si>
    <t>2 1/2", CS, FLANGE, WELDING NECK, 150 LB SCH 40, RF, ASTM A
105, ASME B16.5, 150</t>
  </si>
  <si>
    <t>2", CS, FLANGE, WELDING NECK, ASTM A105, 300LB SCH 80 , RF, ASME B16.5, 300</t>
  </si>
  <si>
    <t>3", CS, FLANGE, WELDING NECK, ASME B16.5, 150LB SCH40, RF, ASTM A 105, ASME B16.5, 150</t>
  </si>
  <si>
    <t>4", CS, FLANGE, WELDING NECK, 150 LB SCH 40, RF, ASTM A 105, ASME B16.5, 150</t>
  </si>
  <si>
    <t>4", CS, FLANGE, WELDING NECK, 150 LB SCH 40, RF, ASTM A
105, ASME B16.5, 150</t>
  </si>
  <si>
    <t>4", CS, FLANGE, WELDING NECK, ASME B16.5, 150LB SCH20, RF, ASTM A 105, ASME B16.5, 150</t>
  </si>
  <si>
    <t>4", CS, FLANGE, WELDING NECK, ASME B16.5, 150LB SCH40, RF, ASTM A 105, ASME B16.5, 150</t>
  </si>
  <si>
    <t>4", CS, FLANGE, WELDING NECK, ASTM A105, 300LB SCH 40 , RF, ASME B16.5, 300</t>
  </si>
  <si>
    <t>6", CS, FLANGE, WELDING NECK, 150 LB SCH 40, RF, ASTM A 105, ASME B16.5, 150</t>
  </si>
  <si>
    <t>6", CS, FLANGE, WELDING NECK, 150 LB SCH 40, RF, ASTM A
105, ASME B16.5, 150</t>
  </si>
  <si>
    <t>6", CS, FLANGE, WELDING NECK, ASME B16.5, 150LB SCH40, RF, ASTM A 105, ASME B16.5, 150</t>
  </si>
  <si>
    <t>8", CS, FLANGE, WELDING NECK, 150 LB SCH 40, RF, ASTM A 105, ASME B16.5, 150</t>
  </si>
  <si>
    <t>8", CS, FLANGE, WELDING NECK, ASME B16.5, 150LB SCH20, RF, ASTM A 105, ASME B16.5, 150</t>
  </si>
  <si>
    <t>8", CS, FLANGE, WELDING NECK, ASTM A105, 300LB SCH 40 , RF, ASME B16.5, 300</t>
  </si>
  <si>
    <t>1 1/2", CS, SPIRAL WOUND GASKET, 304 / GRAPHITE \U+2013 CS, CENTERING RING, 4.5 MM, 150LB, RF , ASME B16.20, 150</t>
  </si>
  <si>
    <t>1 1/4", CS, SPIRAL WOUND GASKET, 304 / GRAPHITE \U+2013 CS, CENTERING RING, 4.5 MM, 150LB, RF , ASME B16.20, 150</t>
  </si>
  <si>
    <t>12", CS, SPIRAL WOUND GASKET, 304 / GRAPHITE \U+2013 CS, CENTERING RING, 4.5 MM, 150LB, RF , ASME B16.20, 150</t>
  </si>
  <si>
    <t>2 1/2", CS, SPIRAL WOUND GASKET, 304 / GRAPHITE \U+2013 CS, CENTERING RING, 4.5 MM, 150LB, RF , ASME B16.20, 150</t>
  </si>
  <si>
    <t>2", CS, SPIRAL WOUND GASKET, 304 / GRAPHITE \U+2013 CS, CENTERING RING, 4.5 MM, 150LB, RF , ASME B16.20, 150</t>
  </si>
  <si>
    <t>2", CS, SPIRAL WOUND GASKET, 304 / GRAPHITE \U+2013 CS, CENTERING RING, 4.5 MM, 150LB, RF , ASME B16.20, 300</t>
  </si>
  <si>
    <t>3", CS, SPIRAL WOUND GASKET, 304 / GRAPHITE \U+2013 CS, CENTERING RING, 4.5 MM, 150LB, RF , ASME B16.20, 150</t>
  </si>
  <si>
    <t>4", CS, SPIRAL WOUND GASKET, 304 / GRAPHITE \U+2013 CS, CENTERING RING, 4.5 MM, 150LB, RF , ASME B16.20, 150</t>
  </si>
  <si>
    <t>4", CS, SPIRAL WOUND GASKET, 304 / GRAPHITE \U+2013 CS, CENTERING RING, 4.5 MM, 150LB, RF , ASME B16.20, 300</t>
  </si>
  <si>
    <t>6", CS, SPIRAL WOUND GASKET, 304 / GRAPHITE \U+2013 CS, CENTERING RING, 4.5 MM, 150LB, RF , ASME B16.20, 150</t>
  </si>
  <si>
    <t>8", CS, SPIRAL WOUND GASKET, 304 / GRAPHITE \U+2013 CS, CENTERING RING, 4.5 MM, 150LB, RF , ASME B16.20, 150</t>
  </si>
  <si>
    <t>8", CS, SPIRAL WOUND GASKET, 304 / GRAPHITE \U+2013 CS, CENTERING RING, 4.5 MM, 150LB, RF , ASME B16.20, 300</t>
  </si>
  <si>
    <t>1/2", CS, NIPPLE, ASTM A106 GRB OR A53 GRB, SAME AS PIPE, TOE (PEXTHD), L=100MM, ASME B36.10, 80</t>
  </si>
  <si>
    <t>1/2", CS, NIPPLE, ASTM A106 GRB OR A53 GRB, SAME AS PIPE,_x000D_
TOE (PEXTHD), L=100MM, ASME B36.10, 80</t>
  </si>
  <si>
    <t>1/2", CS, NIPPLE, ASTM A53 GRB, SAME AS PIPE, TOE (PEXTHD), L=100MM, ASME B36.10, 160</t>
  </si>
  <si>
    <t>12"x2", CS, SOCKOLET,  SW, 3000 LB, MSS SP97, ASTM A105, 3000</t>
  </si>
  <si>
    <t>12"x3/4", CS, SOCKOLET,  SW, 3000 LB, MSS SP97, ASTM A105, 3000</t>
  </si>
  <si>
    <t>3"x1/2", CS, SOCKOLET,  SW, 3000 LB, MSS SP97, ASTM A105, 3000</t>
  </si>
  <si>
    <t>3"x3/4", CS, SOCKOLET,  SW, 3000 LB, MSS SP97, ASTM A105, 3000</t>
  </si>
  <si>
    <t>4"x1/2", CS, SOCKOLET,  SW, 3000 LB, MSS SP97, ASTM A105, 3000</t>
  </si>
  <si>
    <t>4"x1/2", CS, SOCKOLET, SW, 6000LB, MSS SP97, ASTM A105, 6000</t>
  </si>
  <si>
    <t>4"x3/4", CS, SOCKOLET,  SW, 3000 LB, MSS SP97, ASTM A105, 3000</t>
  </si>
  <si>
    <t>4"x3/4", CS, SOCKOLET, SW, 6000LB, MSS SP97, ASTM A105, 6000</t>
  </si>
  <si>
    <t>6"x1/2", CS, SOCKOLET,  SW, 3000 LB, MSS SP97, ASTM A105, 3000</t>
  </si>
  <si>
    <t>6"x3/4", CS, SOCKOLET,  SW, 3000 LB, MSS SP97, ASTM A105, 3000</t>
  </si>
  <si>
    <t>4"x1/2", CS, THREADOLET, ASTM A105, 3000LB, THREADED FEMALE ENDS, MSS SP97., 3000</t>
  </si>
  <si>
    <t>6"x1/2", CS, THREADOLET, ASTM A105, 3000LB, THREADED FEMALE ENDS, MSS SP97., 3000</t>
  </si>
  <si>
    <t>12"x4", CS, WELDOLET, BW/SW, ASTM A234 WPB/ ASTM A105, SCH STD, MSS SP-97, STD</t>
  </si>
  <si>
    <t>1 1/2", CS, PIPE, ASTM A 106 GR.B OR ASTM A53 GR.B, ASME B36.10, SEAMLESS, PLAIN ENDS, 80</t>
  </si>
  <si>
    <t>1 1/4", CS, PIPE, ASTM A 106 GR.B OR ASTM A53 GR.B, ASME B36.10, SEAMLESS, PLAIN ENDS, 80</t>
  </si>
  <si>
    <t>2", CS, PIPE, ASTM A 106 GR.B OR ASTM A53 GR.B, ASME B36.10, SEAMLESS, PLAIN ENDS, 80</t>
  </si>
  <si>
    <t>3/4", CS, PIPE, ASTM A 106 GR.B OR ASTM A53 GR.B, ASME B36.10, SEAMLESS, PLAIN ENDS, 80</t>
  </si>
  <si>
    <t>3/4", CS, PIPE, SEAMLESS, ASTM A53-GR.B, PE, ASME B36.10, 160</t>
  </si>
  <si>
    <t>4", CS, PIPE, SEAMLESS, ASTM A53-GR.B, BE, ASME B36.10, 40</t>
  </si>
  <si>
    <t>8", CS, PIPE, SEAMLESS, ASTM A53-GR.B, BE, ASME B36.10, 40</t>
  </si>
  <si>
    <t>12", CS, PIPE, ASTM A 106 GR.B OR API 5L GR B PSL1, ASME 36.10, SAW-SAWL, BEVELED ENDS, 20</t>
  </si>
  <si>
    <t>12", CS, PIPE, ASTM A 106 GR.B OR ASTM A53 GR.B, ASME B36.10, SAW-SAWL, BEVELED ENDS, 40</t>
  </si>
  <si>
    <t>3", CS, PIPE, ASTM A 106 GR.B OR ASTM A53 GR.B, ASME B36.10, SAW-SAWL, BEVELED ENDS, 40</t>
  </si>
  <si>
    <t>4", CS, PIPE, ASTM A 106 GR.B OR ASTM A53 GR.B, ASME B36.10, SAW-SAWL, BEVELED ENDS, 40</t>
  </si>
  <si>
    <t>6", CS, PIPE, ASTM A 106 GR.B OR ASTM A53 GR.B, ASME B36.10, SAW-SAWL, BEVELED ENDS, 40</t>
  </si>
  <si>
    <t>8", CS, PIPE, ASTM A 106 GR.B OR API 5L GR B PSL1, ASME 36.10, SAW-SAWL, BEVELED ENDS, 20</t>
  </si>
  <si>
    <t>8", CS, PIPE, ASTM A 106 GR.B OR ASTM A53 GR.B, ASME B36.10, SAW-SAWL, BEVELED ENDS, 40</t>
  </si>
  <si>
    <t>2", CS, PLUG, ROUND HEAD, ASTM A105, 3000LB, THDM, ASME B16.11, 3000</t>
  </si>
  <si>
    <t>3/4", CS, PLUG, ROUND HEAD, ASTM A105, 3000LB, THDM, ASME B16.11, 3000</t>
  </si>
  <si>
    <t>3"x1 1/4", CS, REDUCER (CONC), BW, ASME B16.9, ASTM A234 GR.WPB, 40X80</t>
  </si>
  <si>
    <t>4"x1 1/2", CS, REDUCER (CONC), BW, ASME B16.9, ASTM A234 GR.WPB, 40X80</t>
  </si>
  <si>
    <t>4"x2", CS, REDUCER (CONC), BW, SMLS, ASME B16.9, ASTM A234 GR.WPB, 40X80</t>
  </si>
  <si>
    <t>12"x6", CS, REDUCER (ECC), BW, ASME B16.9, ASTM A234 WPB, 20x40</t>
  </si>
  <si>
    <t>4"x2", CS, REDUCER (ECC), BW, ASME B16.9, ASTM A234 WPB, 40X80</t>
  </si>
  <si>
    <t>6"x2 1/2", CS, REDUCER (ECC), BW, ASME B16.9, ASTM A234 WPB, 40</t>
  </si>
  <si>
    <t>12", CS, TEE, BW, ASME B16.9, ASTM A234 WPB, 20</t>
  </si>
  <si>
    <t>12", CS, TEE, BW, ASME B16.9, ASTM A234 WPB, 40</t>
  </si>
  <si>
    <t>4", CS, TEE, BW, ASME B16.9, ASTM A234 WPB, 40</t>
  </si>
  <si>
    <t>8", CS, TEE, BW, ASME B16.9, ASTM A234 WPB, 20</t>
  </si>
  <si>
    <t>12"x6", CS, TEE (RED), BW, ASME B16.9, ASTM A234 WPB, 40</t>
  </si>
  <si>
    <t>12"x8", CS, TEE (RED), BW, ASME B16.9, ASTM A234 WPB, 20</t>
  </si>
  <si>
    <t>12"x8", CS, TEE (RED), BW, ASME B16.9, ASTM A234 WPB, 40</t>
  </si>
  <si>
    <t>8"x3", CS, TEE (RED), BW, ASME B16.9, ASTM A234 WPB, 20x40</t>
  </si>
  <si>
    <t>8"x4", CS, TEE (RED), BW, SEAMLESS, ASME B16.9, ASTM A234 GR.WPB, 40</t>
  </si>
  <si>
    <t>1 1/4", CS, PIPE, ASTM A 106 GR.B OR ASTM A53 GR.B, ASME B36.10, SEAMLESS PLAIN ENDS, 80</t>
  </si>
  <si>
    <t>2", CS, PIPE, ASTM A 106 GR.B OR ASTM A53 GR.B, ASME B36.10, SEAMLESS PLAIN ENDS, 80</t>
  </si>
  <si>
    <t>3/4", CS, PIPE, ASTM A 106 GR.B OR ASTM A53 GR.B, ASME B36.10, SEAMLESS PLAIN ENDS, 80</t>
  </si>
  <si>
    <t>3", CS, PIPE, ASTM A 106 GR.B OR ASTM A53 GR.B , ASME B36.10, SAW-SAWL, BEVELED ENDS, 40</t>
  </si>
  <si>
    <t>4", CS, PIPE, ASTM A 106 GR.B OR ASTM A53 GR.B , ASME B36.10, SAW-SAWL, BEVELED ENDS, 40</t>
  </si>
  <si>
    <t>6", CS, PIPE, ASTM A 106 GR.B OR ASTM A53 GR.B , ASME B36.10, SAW-SAWL, BEVELED ENDS, 40</t>
  </si>
  <si>
    <t>6"x2 1/2", CS, REDUCER (ECC), BW, ASME B16.9, ASTM A234 WPB, 40X80</t>
  </si>
  <si>
    <t>M16X100, CS, STUD BOLT, WITH 2 HEAVY HEXAGONAL NUTS, ASTM A193 GR.B7 / A194 GR.2H, ASME B18.2.1 / B18.2.2</t>
  </si>
  <si>
    <t>M16X100, CS, BOLT SET, STUD BOLT, 25CRMO4, STUD BOLT FULL THRD SCREW WITH 2 NUT &amp; WASHER, EN10269, EN ISO 4014 &amp; 4032.</t>
  </si>
  <si>
    <t>M20X110, CS, STUD BOLT, WITH 2 HEAVY HEXAGONAL NUTS, ASTM A193 GR.B7 / A194 GR.2H, ASME B18.2.1 / B18.2.2</t>
  </si>
  <si>
    <t>M20X120, CS, BOLT SET, STUD BOLT, 25CRMO4, STUD BOLT FULL THRD SCREW WITH 2 NUT &amp; WASHER, EN10269, EN ISO 4014 &amp; 4032.</t>
  </si>
  <si>
    <t>8", CS, ELBOW 45, BW, ASME B16.9, ASTM A234 WPB, SCH40</t>
  </si>
  <si>
    <t>3", CS, ELBOW 90, BW, ASME B16.9, ASTM A234 WPB, SCH20</t>
  </si>
  <si>
    <t>8", CS, ELBOW 90, BW, ASME B16.9, ASTM A234 WPB, SCH20</t>
  </si>
  <si>
    <t>3", CS, FLANGE BLIND, 150 LB, RF, ASME B16.5, ASTM A234 GR WPB</t>
  </si>
  <si>
    <t>8", CS, FLANGE BLIND, 150 LB, RF, ASME B16.5, ASTM A234 GR WPB</t>
  </si>
  <si>
    <t>3", CS, FLANGE, WELDING NECK, ASME B16.5, 150LB SCH40, RF, ASTM A 105, ASME B16.5</t>
  </si>
  <si>
    <t>4", CS, FLANGE, WELDNECK, P245GH, FF, EN 1092-1, EN 10222-2, PN16</t>
  </si>
  <si>
    <t>8", CS, FLANGE, WELDING NECK, ASME B16.5, 150LB SCH20, RF, ASTM A 105, ASME B16.5</t>
  </si>
  <si>
    <t>8", CS, FLANGE, WELDNECK, P245GH, FF, EN 1092-1, EN 10222-2, PN16</t>
  </si>
  <si>
    <t>3", CS, SPIRAL WOUND GASKET, 304 / GRAPHITE \U+2013 CS, CENTERING RING, 4.5 MM, 150LB, RF , ASME B16.20</t>
  </si>
  <si>
    <t>8", CS, SPIRAL WOUND GASKET, 304 / GRAPHITE \U+2013 CS, CENTERING RING, 4.5 MM, 150LB, RF , ASME B16.20</t>
  </si>
  <si>
    <t>4", CS, GASKET, GARLOCK 3000 OR PURCHASER APPROVED EQUAL, PN16, FF, BS 7531 GRY.</t>
  </si>
  <si>
    <t>8", CS, GASKET, GARLOCK 3000 OR PURCHASER APPROVED EQUAL, PN16, FF, BS 7531 GRY.</t>
  </si>
  <si>
    <t>3", CS, PIPE, ASTM A 106 GR.B OR ASTM A53 GR.B , ASME B36.10, SAW-SAWL, BEVELED ENDS, SCH40</t>
  </si>
  <si>
    <t>4", CS, PIPE, ASTM A 106 GR.B OR ASTM A53 GR.B , ASME B36.10, SAW-SAWL, BEVELED ENDS, SCH40</t>
  </si>
  <si>
    <t>8", CS, PIPE, ASTM A 106 GR.B OR API 5L GR B PSL1, ASME 36.10, SAW-SAWL, BEVELED ENDS, SCH20</t>
  </si>
  <si>
    <t>8"X3", CS, TEE (RED), BW, ASME B16.9, ASTM A234 WPB, SCH20X40</t>
  </si>
  <si>
    <t>8"X4", CS, TEE (RED), BW, ASME B16.9, ASTM A234 WPB, SCH20X40</t>
  </si>
  <si>
    <t>12", CS, 12", PIPE, CS, ASTM A106/API 5L Gr PSL1, BW, ASME B36.10, SMLS, PE, SCH20</t>
  </si>
  <si>
    <t>6", CS, 6", Pipe, ASTM A 106 GR.B or ASTM A53 GR.B SCH 40, ASME B36.10, SAW-SAWL, Beveled Ends</t>
  </si>
  <si>
    <t>6", CS, 6", PIPE, CS, ASTM A106/API 5L Gr PSL1, BW, ASME B36.10, SMLS, PE, SCH20</t>
  </si>
  <si>
    <t>8", CS, 8", Pipe, ASTM A 106 GR.B or API 5L Gr B PSL1 SCH 20, ASME 36.10, SAW-SAWL, Beveled Ends</t>
  </si>
  <si>
    <t>8", CS, 8", Pipe, ASTM A 106 GR.B or ASTM A53 GR.B SCH 40, ASME B36.10, SAW-SAWL, Beveled Ends</t>
  </si>
  <si>
    <t>16", CS, 16", PIPE, CS API 5L Gr X60, COATED PSL2, WELDED, BE, SCHSTD, ASME B36.10</t>
  </si>
  <si>
    <t>8", CS, 8", Flange, Welding Neck, ASME B16.5, 150#, Raised Face, ASTM A 105, ASME B16.5</t>
  </si>
  <si>
    <t>16", CS, 16", 45 LR ELBOW, CS ASTM A234 WPB, BW, ASME B16.9, BE, SCHSTD</t>
  </si>
  <si>
    <t>6", CS, 6", 45 LR ELBOW, CS ASTM A234 WPB, BW, ASME B16.9, BE, SCH40</t>
  </si>
  <si>
    <t>8", CS, 8", 45 LR ELBOW, CS ASTM A234 WPB, BW, ASME B16.9, BE, SCH20</t>
  </si>
  <si>
    <t>16", CS, 16", 90 LR ELBOW, CS ASTM A234 WPB, BW, ASME B16.9, BE, SCHSTD</t>
  </si>
  <si>
    <t>6", CS, 6", 90 LR ELBOW, CS ASTM A234 WPB, BW, ASME B16.9, BE, SCH40</t>
  </si>
  <si>
    <t>8", CS, 8", 90 LR ELBOW, CS ASTM A234 WPB, BW, ASME B16.9, BE, SCH20</t>
  </si>
  <si>
    <t>M20X140, CS, M20X140 HEX BOLT SET, 25CrMo4, HEX HEAD BOLT PER EN ISO 4014 (PARTIALLY THD) / ONE NUT PER EN ISO 4032 / WASHER PER EN ISO 7089, EN10269</t>
  </si>
  <si>
    <t>M20X110, CS, M20X110 STUD BOLT, WITH 2 HEAVY HEXAGONAL NUTS, ASTM A193 Gr B7 / A194 Gr 2H, ASME B18.2.1 / B18.2.2</t>
  </si>
  <si>
    <t>8", CS, 8", Spiral Wound Gasket, 304 / Graphite – CS, Centering Ring, 4.5 Mm, 150#, Face Type: Between, 
Flanges Raised Face , ASME B16.20</t>
  </si>
  <si>
    <t>DN200, HDPE, DN200 PIPE, CORRUGATED/TRIPLEX PERFORATED, HDPE, EN 13476, BELL &amp; SPINGOT</t>
  </si>
  <si>
    <t>DN200, HDPE, DN200 PIPE, CORRUGATED/TRIPLEX  HDPE, EN 13476, BELL &amp; SPINGOT</t>
  </si>
  <si>
    <t>DN300, HDPE, DN300 PIPE, CORRUGATED/TRIPLEX PERFORATED, HDPE, EN 13476, BELL &amp; SPINGOT</t>
  </si>
  <si>
    <t>DN200, HDPE, DN200 EQUAL TEE, CORRUGATED/TRIPLEX TEE, HDPE, EN 13476, BELL &amp; SPINGOT</t>
  </si>
  <si>
    <t>DN200, HDPE, DN200 ELBOW 45, CORRUGATED/TRIPLEX, HDPE, EN 13476, BELL &amp; SPINGOT</t>
  </si>
  <si>
    <t>DN200, HDPE, DN200 ELBOW 90, CORRUGATED/TRIPLEX, HDPE, EN 13476, BELL &amp; SPINGOT</t>
  </si>
  <si>
    <t>DN25, HDPE, DN25 PIPE, CORRUGATED/TRIPLEX , HDPE, EN 13476, BELL &amp; SPINGOT</t>
  </si>
  <si>
    <t>DN50, HDPE, DN50 PIPE, CORRUGATED/TRIPLEX , HDPE, EN 13476, BELL &amp; SPINGOT</t>
  </si>
  <si>
    <t>DN75, HDPE, DN75 PIPE, CORRUGATED/TRIPLEX , HDPE, EN 13476, BELL &amp; SPINGOT</t>
  </si>
  <si>
    <t>DN110, HDPE, DN110 PIPE, CORRUGATED/TRIPLEX , HDPE, EN 13476, BELL &amp; SPINGOT</t>
  </si>
  <si>
    <t>DN150, HDPE, DN150 PIPE, CORRUGATED/TRIPLEX , HDPE, EN 13476, BELL &amp; SPINGOT</t>
  </si>
  <si>
    <t>ADET</t>
  </si>
  <si>
    <t>Yangın Hidrantı, DN100, PN16 SFERO</t>
  </si>
  <si>
    <t>NRS 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</si>
</sst>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£&quot;* #,##0.00_-;\-&quot;£&quot;* #,##0.00_-;_-&quot;£&quot;* &quot;-&quot;??_-;_-@_-"/>
    <numFmt numFmtId="165" formatCode="000"/>
    <numFmt numFmtId="167" formatCode="_-[$₺-41F]* #,##0.00_-;\-[$₺-41F]* #,##0.00_-;_-[$₺-41F]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theme="1"/>
      <name val="Calibri"/>
      <family val="2"/>
      <charset val="162"/>
      <scheme val="minor"/>
    </font>
    <font>
      <b/>
      <sz val="20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8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1" fillId="0" borderId="0"/>
    <xf numFmtId="44" fontId="1" fillId="0" borderId="0" applyFont="0" applyFill="0" applyBorder="0" applyAlignment="0" applyProtection="0"/>
  </cellStyleXfs>
  <cellXfs count="68">
    <xf numFmtId="0" fontId="0" fillId="0" borderId="0" xfId="0"/>
    <xf numFmtId="0" fontId="2" fillId="0" borderId="0" xfId="1" applyFont="1"/>
    <xf numFmtId="0" fontId="1" fillId="0" borderId="0" xfId="1"/>
    <xf numFmtId="0" fontId="2" fillId="0" borderId="1" xfId="1" applyFont="1" applyBorder="1" applyAlignment="1">
      <alignment horizontal="center" vertical="center"/>
    </xf>
    <xf numFmtId="0" fontId="2" fillId="0" borderId="1" xfId="1" applyFont="1" applyBorder="1"/>
    <xf numFmtId="0" fontId="1" fillId="0" borderId="1" xfId="1" applyBorder="1" applyAlignment="1">
      <alignment horizontal="center" vertical="center"/>
    </xf>
    <xf numFmtId="0" fontId="1" fillId="0" borderId="5" xfId="1" applyBorder="1"/>
    <xf numFmtId="0" fontId="1" fillId="0" borderId="6" xfId="1" applyBorder="1"/>
    <xf numFmtId="165" fontId="0" fillId="0" borderId="0" xfId="0" applyNumberFormat="1"/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2" xfId="1" applyBorder="1"/>
    <xf numFmtId="0" fontId="1" fillId="0" borderId="7" xfId="1" applyBorder="1"/>
    <xf numFmtId="167" fontId="8" fillId="0" borderId="1" xfId="2" applyNumberFormat="1" applyFont="1" applyBorder="1" applyAlignment="1">
      <alignment vertical="center" wrapText="1"/>
    </xf>
    <xf numFmtId="0" fontId="7" fillId="0" borderId="11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8" fillId="0" borderId="10" xfId="0" applyFont="1" applyBorder="1" applyAlignment="1">
      <alignment vertical="center" wrapText="1"/>
    </xf>
    <xf numFmtId="0" fontId="7" fillId="0" borderId="10" xfId="0" applyFont="1" applyBorder="1" applyAlignment="1">
      <alignment horizontal="center" vertical="center" wrapText="1"/>
    </xf>
    <xf numFmtId="0" fontId="8" fillId="0" borderId="10" xfId="0" applyFont="1" applyBorder="1" applyAlignment="1">
      <alignment vertical="center"/>
    </xf>
    <xf numFmtId="0" fontId="7" fillId="0" borderId="0" xfId="0" applyFont="1" applyAlignment="1">
      <alignment horizontal="center" vertical="center" wrapText="1"/>
    </xf>
    <xf numFmtId="0" fontId="8" fillId="0" borderId="10" xfId="0" applyFont="1" applyBorder="1" applyAlignment="1">
      <alignment horizontal="left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0" fillId="0" borderId="2" xfId="1" applyFont="1" applyBorder="1" applyAlignment="1">
      <alignment horizontal="center" vertical="center"/>
    </xf>
    <xf numFmtId="0" fontId="0" fillId="0" borderId="5" xfId="1" applyFont="1" applyBorder="1" applyAlignment="1">
      <alignment horizontal="center" vertical="center"/>
    </xf>
    <xf numFmtId="0" fontId="0" fillId="0" borderId="7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4" xfId="1" applyFont="1" applyBorder="1" applyAlignment="1">
      <alignment horizontal="center" vertical="center" wrapText="1"/>
    </xf>
    <xf numFmtId="0" fontId="2" fillId="0" borderId="7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0" fillId="0" borderId="3" xfId="1" applyFont="1" applyBorder="1" applyAlignment="1">
      <alignment horizontal="center" vertical="center"/>
    </xf>
    <xf numFmtId="0" fontId="0" fillId="0" borderId="0" xfId="1" applyFont="1" applyAlignment="1">
      <alignment horizontal="center" vertical="center"/>
    </xf>
    <xf numFmtId="0" fontId="0" fillId="0" borderId="8" xfId="1" applyFont="1" applyBorder="1" applyAlignment="1">
      <alignment horizontal="center" vertical="center"/>
    </xf>
    <xf numFmtId="0" fontId="2" fillId="0" borderId="1" xfId="1" applyFont="1" applyBorder="1" applyAlignment="1">
      <alignment horizontal="center" vertical="center" wrapText="1"/>
    </xf>
    <xf numFmtId="0" fontId="3" fillId="0" borderId="1" xfId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/>
    </xf>
    <xf numFmtId="0" fontId="5" fillId="0" borderId="1" xfId="1" applyFont="1" applyBorder="1" applyAlignment="1">
      <alignment horizontal="center"/>
    </xf>
    <xf numFmtId="0" fontId="0" fillId="0" borderId="1" xfId="1" applyFont="1" applyBorder="1" applyAlignment="1">
      <alignment horizontal="center"/>
    </xf>
    <xf numFmtId="0" fontId="1" fillId="0" borderId="1" xfId="1" applyBorder="1" applyAlignment="1">
      <alignment horizontal="center"/>
    </xf>
    <xf numFmtId="14" fontId="1" fillId="0" borderId="1" xfId="1" applyNumberFormat="1" applyBorder="1" applyAlignment="1">
      <alignment horizontal="center"/>
    </xf>
    <xf numFmtId="14" fontId="0" fillId="0" borderId="1" xfId="1" applyNumberFormat="1" applyFont="1" applyBorder="1" applyAlignment="1">
      <alignment horizontal="center"/>
    </xf>
    <xf numFmtId="0" fontId="4" fillId="0" borderId="5" xfId="1" applyFont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4" fillId="0" borderId="6" xfId="1" applyFont="1" applyBorder="1" applyAlignment="1">
      <alignment horizontal="center" vertical="center"/>
    </xf>
    <xf numFmtId="0" fontId="0" fillId="0" borderId="1" xfId="1" applyFont="1" applyBorder="1" applyAlignment="1">
      <alignment horizontal="right" vertical="center"/>
    </xf>
    <xf numFmtId="0" fontId="1" fillId="0" borderId="1" xfId="1" applyBorder="1" applyAlignment="1">
      <alignment horizontal="right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0" xfId="1" applyFont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2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0" fontId="2" fillId="0" borderId="4" xfId="1" applyFont="1" applyBorder="1" applyAlignment="1">
      <alignment horizontal="center" vertical="center"/>
    </xf>
    <xf numFmtId="0" fontId="2" fillId="0" borderId="7" xfId="1" applyFont="1" applyBorder="1" applyAlignment="1">
      <alignment horizontal="center" vertical="center"/>
    </xf>
    <xf numFmtId="0" fontId="2" fillId="0" borderId="8" xfId="1" applyFont="1" applyBorder="1" applyAlignment="1">
      <alignment horizontal="center" vertical="center"/>
    </xf>
    <xf numFmtId="0" fontId="2" fillId="0" borderId="9" xfId="1" applyFont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 wrapText="1"/>
    </xf>
    <xf numFmtId="0" fontId="8" fillId="0" borderId="10" xfId="0" applyFont="1" applyFill="1" applyBorder="1" applyAlignment="1">
      <alignment vertical="center" wrapText="1"/>
    </xf>
    <xf numFmtId="167" fontId="8" fillId="0" borderId="1" xfId="0" applyNumberFormat="1" applyFont="1" applyBorder="1" applyAlignment="1">
      <alignment vertical="center" wrapText="1"/>
    </xf>
    <xf numFmtId="167" fontId="7" fillId="0" borderId="1" xfId="0" applyNumberFormat="1" applyFont="1" applyBorder="1" applyAlignment="1">
      <alignment horizontal="center" vertical="center" wrapText="1"/>
    </xf>
    <xf numFmtId="167" fontId="8" fillId="0" borderId="1" xfId="0" applyNumberFormat="1" applyFont="1" applyBorder="1" applyAlignment="1">
      <alignment horizontal="center" vertical="center" wrapText="1"/>
    </xf>
    <xf numFmtId="167" fontId="8" fillId="0" borderId="1" xfId="0" applyNumberFormat="1" applyFont="1" applyBorder="1" applyAlignment="1">
      <alignment horizontal="center" vertical="center"/>
    </xf>
    <xf numFmtId="167" fontId="8" fillId="0" borderId="1" xfId="0" applyNumberFormat="1" applyFont="1" applyFill="1" applyBorder="1" applyAlignment="1">
      <alignment vertical="center" wrapText="1"/>
    </xf>
    <xf numFmtId="167" fontId="0" fillId="0" borderId="0" xfId="0" applyNumberFormat="1"/>
  </cellXfs>
  <cellStyles count="3">
    <cellStyle name="Currency" xfId="2" builtinId="4"/>
    <cellStyle name="Normal" xfId="0" builtinId="0"/>
    <cellStyle name="Normal 2" xfId="1" xr:uid="{D4B4C524-9415-4662-9FFF-2BF94E16D0FB}"/>
  </cellStyles>
  <dxfs count="60">
    <dxf>
      <font>
        <color rgb="FF7F4F00"/>
      </font>
      <fill>
        <patternFill patternType="solid">
          <fgColor indexed="64"/>
          <bgColor rgb="FFFFD966"/>
        </patternFill>
      </fill>
    </dxf>
    <dxf>
      <font>
        <b/>
        <i val="0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/>
        <i val="0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/>
        <i val="0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/>
        <i val="0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/>
        <i val="0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/>
        <i val="0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/>
        <i val="0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/>
        <i val="0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/>
        <i val="0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/>
        <i val="0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/>
        <i val="0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/>
        <i val="0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/>
        <i val="0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/>
        <i val="0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/>
        <i val="0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/>
        <i val="0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/>
        <i val="0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/>
        <i val="0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/>
        <i val="0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/>
        <i val="0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/>
        <i val="0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/>
        <i val="0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/>
        <i val="0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/>
        <i val="0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/>
        <i val="0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/>
        <i val="0"/>
        <color rgb="FF1E4D2B"/>
      </font>
      <fill>
        <patternFill patternType="solid">
          <fgColor indexed="64"/>
          <bgColor rgb="FF92D050"/>
        </patternFill>
      </fill>
    </dxf>
    <dxf>
      <font>
        <b/>
        <i val="0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/>
        <i val="0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/>
        <i val="0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/>
        <i val="0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229361</xdr:colOff>
      <xdr:row>1</xdr:row>
      <xdr:rowOff>33619</xdr:rowOff>
    </xdr:from>
    <xdr:to>
      <xdr:col>4</xdr:col>
      <xdr:colOff>92111</xdr:colOff>
      <xdr:row>3</xdr:row>
      <xdr:rowOff>168088</xdr:rowOff>
    </xdr:to>
    <xdr:pic>
      <xdr:nvPicPr>
        <xdr:cNvPr id="2" name="Resim 8">
          <a:extLst>
            <a:ext uri="{FF2B5EF4-FFF2-40B4-BE49-F238E27FC236}">
              <a16:creationId xmlns:a16="http://schemas.microsoft.com/office/drawing/2014/main" id="{60CEDBDF-85C0-4ED5-B48D-7D1D1A5D17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10561" y="224119"/>
          <a:ext cx="472350" cy="51546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204107</xdr:colOff>
      <xdr:row>1</xdr:row>
      <xdr:rowOff>136072</xdr:rowOff>
    </xdr:from>
    <xdr:to>
      <xdr:col>3</xdr:col>
      <xdr:colOff>676457</xdr:colOff>
      <xdr:row>4</xdr:row>
      <xdr:rowOff>80041</xdr:rowOff>
    </xdr:to>
    <xdr:pic>
      <xdr:nvPicPr>
        <xdr:cNvPr id="5" name="Resim 8">
          <a:extLst>
            <a:ext uri="{FF2B5EF4-FFF2-40B4-BE49-F238E27FC236}">
              <a16:creationId xmlns:a16="http://schemas.microsoft.com/office/drawing/2014/main" id="{0C0D2532-D12D-481D-AE61-0E1D7D87F6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286" y="639536"/>
          <a:ext cx="472350" cy="51546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5</v>
    <v>KEY OIL &amp; GAS | LinkedIn</v>
  </rv>
  <rv s="0">
    <v>1</v>
    <v>5</v>
    <v>KEY OIL &amp; GAS | LinkedIn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1636A05-E14F-4638-BD72-B6BE6DE45AA7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e011a017-2e15-4551-84a0-b4810d49ada6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6C7EC-4E4F-4940-8D54-41AD11EC6F72}">
  <sheetPr>
    <pageSetUpPr fitToPage="1"/>
  </sheetPr>
  <dimension ref="B2:R56"/>
  <sheetViews>
    <sheetView view="pageBreakPreview" topLeftCell="A19" zoomScale="85" zoomScaleNormal="85" zoomScaleSheetLayoutView="85" workbookViewId="0">
      <selection activeCell="G12" sqref="G12"/>
    </sheetView>
  </sheetViews>
  <sheetFormatPr defaultRowHeight="15" x14ac:dyDescent="0.25"/>
  <cols>
    <col min="1" max="1" width="9.140625" style="2"/>
    <col min="2" max="3" width="10.28515625" style="2" customWidth="1"/>
    <col min="4" max="8" width="9.140625" style="2"/>
    <col min="9" max="17" width="4.140625" style="2" customWidth="1"/>
    <col min="18" max="257" width="9.140625" style="2"/>
    <col min="258" max="259" width="10.28515625" style="2" customWidth="1"/>
    <col min="260" max="264" width="9.140625" style="2"/>
    <col min="265" max="273" width="4.140625" style="2" customWidth="1"/>
    <col min="274" max="513" width="9.140625" style="2"/>
    <col min="514" max="515" width="10.28515625" style="2" customWidth="1"/>
    <col min="516" max="520" width="9.140625" style="2"/>
    <col min="521" max="529" width="4.140625" style="2" customWidth="1"/>
    <col min="530" max="769" width="9.140625" style="2"/>
    <col min="770" max="771" width="10.28515625" style="2" customWidth="1"/>
    <col min="772" max="776" width="9.140625" style="2"/>
    <col min="777" max="785" width="4.140625" style="2" customWidth="1"/>
    <col min="786" max="1025" width="9.140625" style="2"/>
    <col min="1026" max="1027" width="10.28515625" style="2" customWidth="1"/>
    <col min="1028" max="1032" width="9.140625" style="2"/>
    <col min="1033" max="1041" width="4.140625" style="2" customWidth="1"/>
    <col min="1042" max="1281" width="9.140625" style="2"/>
    <col min="1282" max="1283" width="10.28515625" style="2" customWidth="1"/>
    <col min="1284" max="1288" width="9.140625" style="2"/>
    <col min="1289" max="1297" width="4.140625" style="2" customWidth="1"/>
    <col min="1298" max="1537" width="9.140625" style="2"/>
    <col min="1538" max="1539" width="10.28515625" style="2" customWidth="1"/>
    <col min="1540" max="1544" width="9.140625" style="2"/>
    <col min="1545" max="1553" width="4.140625" style="2" customWidth="1"/>
    <col min="1554" max="1793" width="9.140625" style="2"/>
    <col min="1794" max="1795" width="10.28515625" style="2" customWidth="1"/>
    <col min="1796" max="1800" width="9.140625" style="2"/>
    <col min="1801" max="1809" width="4.140625" style="2" customWidth="1"/>
    <col min="1810" max="2049" width="9.140625" style="2"/>
    <col min="2050" max="2051" width="10.28515625" style="2" customWidth="1"/>
    <col min="2052" max="2056" width="9.140625" style="2"/>
    <col min="2057" max="2065" width="4.140625" style="2" customWidth="1"/>
    <col min="2066" max="2305" width="9.140625" style="2"/>
    <col min="2306" max="2307" width="10.28515625" style="2" customWidth="1"/>
    <col min="2308" max="2312" width="9.140625" style="2"/>
    <col min="2313" max="2321" width="4.140625" style="2" customWidth="1"/>
    <col min="2322" max="2561" width="9.140625" style="2"/>
    <col min="2562" max="2563" width="10.28515625" style="2" customWidth="1"/>
    <col min="2564" max="2568" width="9.140625" style="2"/>
    <col min="2569" max="2577" width="4.140625" style="2" customWidth="1"/>
    <col min="2578" max="2817" width="9.140625" style="2"/>
    <col min="2818" max="2819" width="10.28515625" style="2" customWidth="1"/>
    <col min="2820" max="2824" width="9.140625" style="2"/>
    <col min="2825" max="2833" width="4.140625" style="2" customWidth="1"/>
    <col min="2834" max="3073" width="9.140625" style="2"/>
    <col min="3074" max="3075" width="10.28515625" style="2" customWidth="1"/>
    <col min="3076" max="3080" width="9.140625" style="2"/>
    <col min="3081" max="3089" width="4.140625" style="2" customWidth="1"/>
    <col min="3090" max="3329" width="9.140625" style="2"/>
    <col min="3330" max="3331" width="10.28515625" style="2" customWidth="1"/>
    <col min="3332" max="3336" width="9.140625" style="2"/>
    <col min="3337" max="3345" width="4.140625" style="2" customWidth="1"/>
    <col min="3346" max="3585" width="9.140625" style="2"/>
    <col min="3586" max="3587" width="10.28515625" style="2" customWidth="1"/>
    <col min="3588" max="3592" width="9.140625" style="2"/>
    <col min="3593" max="3601" width="4.140625" style="2" customWidth="1"/>
    <col min="3602" max="3841" width="9.140625" style="2"/>
    <col min="3842" max="3843" width="10.28515625" style="2" customWidth="1"/>
    <col min="3844" max="3848" width="9.140625" style="2"/>
    <col min="3849" max="3857" width="4.140625" style="2" customWidth="1"/>
    <col min="3858" max="4097" width="9.140625" style="2"/>
    <col min="4098" max="4099" width="10.28515625" style="2" customWidth="1"/>
    <col min="4100" max="4104" width="9.140625" style="2"/>
    <col min="4105" max="4113" width="4.140625" style="2" customWidth="1"/>
    <col min="4114" max="4353" width="9.140625" style="2"/>
    <col min="4354" max="4355" width="10.28515625" style="2" customWidth="1"/>
    <col min="4356" max="4360" width="9.140625" style="2"/>
    <col min="4361" max="4369" width="4.140625" style="2" customWidth="1"/>
    <col min="4370" max="4609" width="9.140625" style="2"/>
    <col min="4610" max="4611" width="10.28515625" style="2" customWidth="1"/>
    <col min="4612" max="4616" width="9.140625" style="2"/>
    <col min="4617" max="4625" width="4.140625" style="2" customWidth="1"/>
    <col min="4626" max="4865" width="9.140625" style="2"/>
    <col min="4866" max="4867" width="10.28515625" style="2" customWidth="1"/>
    <col min="4868" max="4872" width="9.140625" style="2"/>
    <col min="4873" max="4881" width="4.140625" style="2" customWidth="1"/>
    <col min="4882" max="5121" width="9.140625" style="2"/>
    <col min="5122" max="5123" width="10.28515625" style="2" customWidth="1"/>
    <col min="5124" max="5128" width="9.140625" style="2"/>
    <col min="5129" max="5137" width="4.140625" style="2" customWidth="1"/>
    <col min="5138" max="5377" width="9.140625" style="2"/>
    <col min="5378" max="5379" width="10.28515625" style="2" customWidth="1"/>
    <col min="5380" max="5384" width="9.140625" style="2"/>
    <col min="5385" max="5393" width="4.140625" style="2" customWidth="1"/>
    <col min="5394" max="5633" width="9.140625" style="2"/>
    <col min="5634" max="5635" width="10.28515625" style="2" customWidth="1"/>
    <col min="5636" max="5640" width="9.140625" style="2"/>
    <col min="5641" max="5649" width="4.140625" style="2" customWidth="1"/>
    <col min="5650" max="5889" width="9.140625" style="2"/>
    <col min="5890" max="5891" width="10.28515625" style="2" customWidth="1"/>
    <col min="5892" max="5896" width="9.140625" style="2"/>
    <col min="5897" max="5905" width="4.140625" style="2" customWidth="1"/>
    <col min="5906" max="6145" width="9.140625" style="2"/>
    <col min="6146" max="6147" width="10.28515625" style="2" customWidth="1"/>
    <col min="6148" max="6152" width="9.140625" style="2"/>
    <col min="6153" max="6161" width="4.140625" style="2" customWidth="1"/>
    <col min="6162" max="6401" width="9.140625" style="2"/>
    <col min="6402" max="6403" width="10.28515625" style="2" customWidth="1"/>
    <col min="6404" max="6408" width="9.140625" style="2"/>
    <col min="6409" max="6417" width="4.140625" style="2" customWidth="1"/>
    <col min="6418" max="6657" width="9.140625" style="2"/>
    <col min="6658" max="6659" width="10.28515625" style="2" customWidth="1"/>
    <col min="6660" max="6664" width="9.140625" style="2"/>
    <col min="6665" max="6673" width="4.140625" style="2" customWidth="1"/>
    <col min="6674" max="6913" width="9.140625" style="2"/>
    <col min="6914" max="6915" width="10.28515625" style="2" customWidth="1"/>
    <col min="6916" max="6920" width="9.140625" style="2"/>
    <col min="6921" max="6929" width="4.140625" style="2" customWidth="1"/>
    <col min="6930" max="7169" width="9.140625" style="2"/>
    <col min="7170" max="7171" width="10.28515625" style="2" customWidth="1"/>
    <col min="7172" max="7176" width="9.140625" style="2"/>
    <col min="7177" max="7185" width="4.140625" style="2" customWidth="1"/>
    <col min="7186" max="7425" width="9.140625" style="2"/>
    <col min="7426" max="7427" width="10.28515625" style="2" customWidth="1"/>
    <col min="7428" max="7432" width="9.140625" style="2"/>
    <col min="7433" max="7441" width="4.140625" style="2" customWidth="1"/>
    <col min="7442" max="7681" width="9.140625" style="2"/>
    <col min="7682" max="7683" width="10.28515625" style="2" customWidth="1"/>
    <col min="7684" max="7688" width="9.140625" style="2"/>
    <col min="7689" max="7697" width="4.140625" style="2" customWidth="1"/>
    <col min="7698" max="7937" width="9.140625" style="2"/>
    <col min="7938" max="7939" width="10.28515625" style="2" customWidth="1"/>
    <col min="7940" max="7944" width="9.140625" style="2"/>
    <col min="7945" max="7953" width="4.140625" style="2" customWidth="1"/>
    <col min="7954" max="8193" width="9.140625" style="2"/>
    <col min="8194" max="8195" width="10.28515625" style="2" customWidth="1"/>
    <col min="8196" max="8200" width="9.140625" style="2"/>
    <col min="8201" max="8209" width="4.140625" style="2" customWidth="1"/>
    <col min="8210" max="8449" width="9.140625" style="2"/>
    <col min="8450" max="8451" width="10.28515625" style="2" customWidth="1"/>
    <col min="8452" max="8456" width="9.140625" style="2"/>
    <col min="8457" max="8465" width="4.140625" style="2" customWidth="1"/>
    <col min="8466" max="8705" width="9.140625" style="2"/>
    <col min="8706" max="8707" width="10.28515625" style="2" customWidth="1"/>
    <col min="8708" max="8712" width="9.140625" style="2"/>
    <col min="8713" max="8721" width="4.140625" style="2" customWidth="1"/>
    <col min="8722" max="8961" width="9.140625" style="2"/>
    <col min="8962" max="8963" width="10.28515625" style="2" customWidth="1"/>
    <col min="8964" max="8968" width="9.140625" style="2"/>
    <col min="8969" max="8977" width="4.140625" style="2" customWidth="1"/>
    <col min="8978" max="9217" width="9.140625" style="2"/>
    <col min="9218" max="9219" width="10.28515625" style="2" customWidth="1"/>
    <col min="9220" max="9224" width="9.140625" style="2"/>
    <col min="9225" max="9233" width="4.140625" style="2" customWidth="1"/>
    <col min="9234" max="9473" width="9.140625" style="2"/>
    <col min="9474" max="9475" width="10.28515625" style="2" customWidth="1"/>
    <col min="9476" max="9480" width="9.140625" style="2"/>
    <col min="9481" max="9489" width="4.140625" style="2" customWidth="1"/>
    <col min="9490" max="9729" width="9.140625" style="2"/>
    <col min="9730" max="9731" width="10.28515625" style="2" customWidth="1"/>
    <col min="9732" max="9736" width="9.140625" style="2"/>
    <col min="9737" max="9745" width="4.140625" style="2" customWidth="1"/>
    <col min="9746" max="9985" width="9.140625" style="2"/>
    <col min="9986" max="9987" width="10.28515625" style="2" customWidth="1"/>
    <col min="9988" max="9992" width="9.140625" style="2"/>
    <col min="9993" max="10001" width="4.140625" style="2" customWidth="1"/>
    <col min="10002" max="10241" width="9.140625" style="2"/>
    <col min="10242" max="10243" width="10.28515625" style="2" customWidth="1"/>
    <col min="10244" max="10248" width="9.140625" style="2"/>
    <col min="10249" max="10257" width="4.140625" style="2" customWidth="1"/>
    <col min="10258" max="10497" width="9.140625" style="2"/>
    <col min="10498" max="10499" width="10.28515625" style="2" customWidth="1"/>
    <col min="10500" max="10504" width="9.140625" style="2"/>
    <col min="10505" max="10513" width="4.140625" style="2" customWidth="1"/>
    <col min="10514" max="10753" width="9.140625" style="2"/>
    <col min="10754" max="10755" width="10.28515625" style="2" customWidth="1"/>
    <col min="10756" max="10760" width="9.140625" style="2"/>
    <col min="10761" max="10769" width="4.140625" style="2" customWidth="1"/>
    <col min="10770" max="11009" width="9.140625" style="2"/>
    <col min="11010" max="11011" width="10.28515625" style="2" customWidth="1"/>
    <col min="11012" max="11016" width="9.140625" style="2"/>
    <col min="11017" max="11025" width="4.140625" style="2" customWidth="1"/>
    <col min="11026" max="11265" width="9.140625" style="2"/>
    <col min="11266" max="11267" width="10.28515625" style="2" customWidth="1"/>
    <col min="11268" max="11272" width="9.140625" style="2"/>
    <col min="11273" max="11281" width="4.140625" style="2" customWidth="1"/>
    <col min="11282" max="11521" width="9.140625" style="2"/>
    <col min="11522" max="11523" width="10.28515625" style="2" customWidth="1"/>
    <col min="11524" max="11528" width="9.140625" style="2"/>
    <col min="11529" max="11537" width="4.140625" style="2" customWidth="1"/>
    <col min="11538" max="11777" width="9.140625" style="2"/>
    <col min="11778" max="11779" width="10.28515625" style="2" customWidth="1"/>
    <col min="11780" max="11784" width="9.140625" style="2"/>
    <col min="11785" max="11793" width="4.140625" style="2" customWidth="1"/>
    <col min="11794" max="12033" width="9.140625" style="2"/>
    <col min="12034" max="12035" width="10.28515625" style="2" customWidth="1"/>
    <col min="12036" max="12040" width="9.140625" style="2"/>
    <col min="12041" max="12049" width="4.140625" style="2" customWidth="1"/>
    <col min="12050" max="12289" width="9.140625" style="2"/>
    <col min="12290" max="12291" width="10.28515625" style="2" customWidth="1"/>
    <col min="12292" max="12296" width="9.140625" style="2"/>
    <col min="12297" max="12305" width="4.140625" style="2" customWidth="1"/>
    <col min="12306" max="12545" width="9.140625" style="2"/>
    <col min="12546" max="12547" width="10.28515625" style="2" customWidth="1"/>
    <col min="12548" max="12552" width="9.140625" style="2"/>
    <col min="12553" max="12561" width="4.140625" style="2" customWidth="1"/>
    <col min="12562" max="12801" width="9.140625" style="2"/>
    <col min="12802" max="12803" width="10.28515625" style="2" customWidth="1"/>
    <col min="12804" max="12808" width="9.140625" style="2"/>
    <col min="12809" max="12817" width="4.140625" style="2" customWidth="1"/>
    <col min="12818" max="13057" width="9.140625" style="2"/>
    <col min="13058" max="13059" width="10.28515625" style="2" customWidth="1"/>
    <col min="13060" max="13064" width="9.140625" style="2"/>
    <col min="13065" max="13073" width="4.140625" style="2" customWidth="1"/>
    <col min="13074" max="13313" width="9.140625" style="2"/>
    <col min="13314" max="13315" width="10.28515625" style="2" customWidth="1"/>
    <col min="13316" max="13320" width="9.140625" style="2"/>
    <col min="13321" max="13329" width="4.140625" style="2" customWidth="1"/>
    <col min="13330" max="13569" width="9.140625" style="2"/>
    <col min="13570" max="13571" width="10.28515625" style="2" customWidth="1"/>
    <col min="13572" max="13576" width="9.140625" style="2"/>
    <col min="13577" max="13585" width="4.140625" style="2" customWidth="1"/>
    <col min="13586" max="13825" width="9.140625" style="2"/>
    <col min="13826" max="13827" width="10.28515625" style="2" customWidth="1"/>
    <col min="13828" max="13832" width="9.140625" style="2"/>
    <col min="13833" max="13841" width="4.140625" style="2" customWidth="1"/>
    <col min="13842" max="14081" width="9.140625" style="2"/>
    <col min="14082" max="14083" width="10.28515625" style="2" customWidth="1"/>
    <col min="14084" max="14088" width="9.140625" style="2"/>
    <col min="14089" max="14097" width="4.140625" style="2" customWidth="1"/>
    <col min="14098" max="14337" width="9.140625" style="2"/>
    <col min="14338" max="14339" width="10.28515625" style="2" customWidth="1"/>
    <col min="14340" max="14344" width="9.140625" style="2"/>
    <col min="14345" max="14353" width="4.140625" style="2" customWidth="1"/>
    <col min="14354" max="14593" width="9.140625" style="2"/>
    <col min="14594" max="14595" width="10.28515625" style="2" customWidth="1"/>
    <col min="14596" max="14600" width="9.140625" style="2"/>
    <col min="14601" max="14609" width="4.140625" style="2" customWidth="1"/>
    <col min="14610" max="14849" width="9.140625" style="2"/>
    <col min="14850" max="14851" width="10.28515625" style="2" customWidth="1"/>
    <col min="14852" max="14856" width="9.140625" style="2"/>
    <col min="14857" max="14865" width="4.140625" style="2" customWidth="1"/>
    <col min="14866" max="15105" width="9.140625" style="2"/>
    <col min="15106" max="15107" width="10.28515625" style="2" customWidth="1"/>
    <col min="15108" max="15112" width="9.140625" style="2"/>
    <col min="15113" max="15121" width="4.140625" style="2" customWidth="1"/>
    <col min="15122" max="15361" width="9.140625" style="2"/>
    <col min="15362" max="15363" width="10.28515625" style="2" customWidth="1"/>
    <col min="15364" max="15368" width="9.140625" style="2"/>
    <col min="15369" max="15377" width="4.140625" style="2" customWidth="1"/>
    <col min="15378" max="15617" width="9.140625" style="2"/>
    <col min="15618" max="15619" width="10.28515625" style="2" customWidth="1"/>
    <col min="15620" max="15624" width="9.140625" style="2"/>
    <col min="15625" max="15633" width="4.140625" style="2" customWidth="1"/>
    <col min="15634" max="15873" width="9.140625" style="2"/>
    <col min="15874" max="15875" width="10.28515625" style="2" customWidth="1"/>
    <col min="15876" max="15880" width="9.140625" style="2"/>
    <col min="15881" max="15889" width="4.140625" style="2" customWidth="1"/>
    <col min="15890" max="16129" width="9.140625" style="2"/>
    <col min="16130" max="16131" width="10.28515625" style="2" customWidth="1"/>
    <col min="16132" max="16136" width="9.140625" style="2"/>
    <col min="16137" max="16145" width="4.140625" style="2" customWidth="1"/>
    <col min="16146" max="16384" width="9.140625" style="2"/>
  </cols>
  <sheetData>
    <row r="2" spans="2:18" ht="15" customHeight="1" x14ac:dyDescent="0.25">
      <c r="B2" s="43" t="e" vm="1">
        <v>#VALUE!</v>
      </c>
      <c r="C2" s="43"/>
      <c r="D2" s="49" t="s">
        <v>0</v>
      </c>
      <c r="E2" s="50"/>
      <c r="F2" s="50"/>
      <c r="G2" s="50"/>
      <c r="H2" s="36" t="s">
        <v>1</v>
      </c>
      <c r="I2" s="36"/>
      <c r="J2" s="36"/>
      <c r="K2" s="36"/>
      <c r="L2" s="36"/>
      <c r="M2" s="37" t="s">
        <v>2</v>
      </c>
      <c r="N2" s="36"/>
      <c r="O2" s="36"/>
      <c r="P2" s="36"/>
      <c r="Q2" s="36"/>
      <c r="R2" s="1"/>
    </row>
    <row r="3" spans="2:18" x14ac:dyDescent="0.25">
      <c r="B3" s="43"/>
      <c r="C3" s="43"/>
      <c r="D3" s="50"/>
      <c r="E3" s="50"/>
      <c r="F3" s="50"/>
      <c r="G3" s="50"/>
      <c r="H3" s="36"/>
      <c r="I3" s="36"/>
      <c r="J3" s="36"/>
      <c r="K3" s="36"/>
      <c r="L3" s="36"/>
      <c r="M3" s="36"/>
      <c r="N3" s="36"/>
      <c r="O3" s="36"/>
      <c r="P3" s="36"/>
      <c r="Q3" s="36"/>
      <c r="R3" s="1"/>
    </row>
    <row r="4" spans="2:18" x14ac:dyDescent="0.25">
      <c r="B4" s="43"/>
      <c r="C4" s="43"/>
      <c r="D4" s="50"/>
      <c r="E4" s="50"/>
      <c r="F4" s="50"/>
      <c r="G4" s="50"/>
      <c r="H4" s="36"/>
      <c r="I4" s="36"/>
      <c r="J4" s="36"/>
      <c r="K4" s="36"/>
      <c r="L4" s="36"/>
      <c r="M4" s="36"/>
      <c r="N4" s="36"/>
      <c r="O4" s="36"/>
      <c r="P4" s="36"/>
      <c r="Q4" s="36"/>
      <c r="R4" s="1"/>
    </row>
    <row r="5" spans="2:18" ht="15" customHeight="1" x14ac:dyDescent="0.25">
      <c r="B5" s="43"/>
      <c r="C5" s="43"/>
      <c r="D5" s="27" t="s">
        <v>3</v>
      </c>
      <c r="E5" s="28"/>
      <c r="F5" s="28"/>
      <c r="G5" s="29"/>
      <c r="H5" s="54" t="s">
        <v>16</v>
      </c>
      <c r="I5" s="55"/>
      <c r="J5" s="55"/>
      <c r="K5" s="55"/>
      <c r="L5" s="55"/>
      <c r="M5" s="55"/>
      <c r="N5" s="55"/>
      <c r="O5" s="56"/>
      <c r="P5" s="36" t="s">
        <v>4</v>
      </c>
      <c r="Q5" s="39"/>
    </row>
    <row r="6" spans="2:18" ht="15" customHeight="1" x14ac:dyDescent="0.25">
      <c r="B6" s="43"/>
      <c r="C6" s="43"/>
      <c r="D6" s="51"/>
      <c r="E6" s="52"/>
      <c r="F6" s="52"/>
      <c r="G6" s="53"/>
      <c r="H6" s="57"/>
      <c r="I6" s="58"/>
      <c r="J6" s="58"/>
      <c r="K6" s="58"/>
      <c r="L6" s="58"/>
      <c r="M6" s="58"/>
      <c r="N6" s="58"/>
      <c r="O6" s="59"/>
      <c r="P6" s="39"/>
      <c r="Q6" s="39"/>
    </row>
    <row r="7" spans="2:18" x14ac:dyDescent="0.25">
      <c r="B7" s="43"/>
      <c r="C7" s="43"/>
      <c r="D7" s="30"/>
      <c r="E7" s="31"/>
      <c r="F7" s="31"/>
      <c r="G7" s="32"/>
      <c r="H7" s="4" t="s">
        <v>5</v>
      </c>
      <c r="I7" s="3" t="s">
        <v>6</v>
      </c>
      <c r="J7" s="3"/>
      <c r="K7" s="3"/>
      <c r="L7" s="3"/>
      <c r="M7" s="3"/>
      <c r="N7" s="3"/>
      <c r="O7" s="3"/>
      <c r="P7" s="3"/>
      <c r="Q7" s="5"/>
    </row>
    <row r="8" spans="2:18" x14ac:dyDescent="0.25">
      <c r="B8" s="6"/>
      <c r="Q8" s="7"/>
    </row>
    <row r="9" spans="2:18" x14ac:dyDescent="0.25">
      <c r="B9" s="6"/>
      <c r="Q9" s="7"/>
    </row>
    <row r="10" spans="2:18" x14ac:dyDescent="0.25">
      <c r="B10" s="6"/>
      <c r="Q10" s="7"/>
    </row>
    <row r="11" spans="2:18" x14ac:dyDescent="0.25">
      <c r="B11" s="6"/>
      <c r="Q11" s="7"/>
    </row>
    <row r="12" spans="2:18" x14ac:dyDescent="0.25">
      <c r="B12" s="6"/>
      <c r="Q12" s="7"/>
    </row>
    <row r="13" spans="2:18" x14ac:dyDescent="0.25">
      <c r="B13" s="6"/>
      <c r="Q13" s="7"/>
    </row>
    <row r="14" spans="2:18" x14ac:dyDescent="0.25">
      <c r="B14" s="6"/>
      <c r="Q14" s="7"/>
    </row>
    <row r="15" spans="2:18" x14ac:dyDescent="0.25">
      <c r="B15" s="6"/>
      <c r="Q15" s="7"/>
    </row>
    <row r="16" spans="2:18" x14ac:dyDescent="0.25">
      <c r="B16" s="6"/>
      <c r="Q16" s="7"/>
    </row>
    <row r="17" spans="2:17" x14ac:dyDescent="0.25">
      <c r="B17" s="6"/>
      <c r="Q17" s="7"/>
    </row>
    <row r="18" spans="2:17" x14ac:dyDescent="0.25">
      <c r="B18" s="6"/>
      <c r="Q18" s="7"/>
    </row>
    <row r="19" spans="2:17" x14ac:dyDescent="0.25">
      <c r="B19" s="6"/>
      <c r="Q19" s="7"/>
    </row>
    <row r="20" spans="2:17" x14ac:dyDescent="0.25">
      <c r="B20" s="6"/>
      <c r="Q20" s="7"/>
    </row>
    <row r="21" spans="2:17" ht="11.25" customHeight="1" x14ac:dyDescent="0.25">
      <c r="B21" s="46" t="s">
        <v>15</v>
      </c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8"/>
    </row>
    <row r="22" spans="2:17" ht="11.25" customHeight="1" x14ac:dyDescent="0.25">
      <c r="B22" s="46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8"/>
    </row>
    <row r="23" spans="2:17" x14ac:dyDescent="0.25">
      <c r="B23" s="46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8"/>
    </row>
    <row r="24" spans="2:17" x14ac:dyDescent="0.25">
      <c r="B24" s="6"/>
      <c r="Q24" s="7"/>
    </row>
    <row r="25" spans="2:17" x14ac:dyDescent="0.25">
      <c r="B25" s="6"/>
      <c r="Q25" s="7"/>
    </row>
    <row r="26" spans="2:17" x14ac:dyDescent="0.25">
      <c r="B26" s="6"/>
      <c r="Q26" s="7"/>
    </row>
    <row r="27" spans="2:17" x14ac:dyDescent="0.25">
      <c r="B27" s="6"/>
      <c r="Q27" s="7"/>
    </row>
    <row r="28" spans="2:17" x14ac:dyDescent="0.25">
      <c r="B28" s="6"/>
      <c r="Q28" s="7"/>
    </row>
    <row r="29" spans="2:17" x14ac:dyDescent="0.25">
      <c r="B29" s="6"/>
      <c r="Q29" s="7"/>
    </row>
    <row r="30" spans="2:17" x14ac:dyDescent="0.25">
      <c r="B30" s="6"/>
      <c r="Q30" s="7"/>
    </row>
    <row r="31" spans="2:17" x14ac:dyDescent="0.25">
      <c r="B31" s="6"/>
      <c r="Q31" s="7"/>
    </row>
    <row r="32" spans="2:17" x14ac:dyDescent="0.25">
      <c r="B32" s="6"/>
      <c r="Q32" s="7"/>
    </row>
    <row r="33" spans="2:17" x14ac:dyDescent="0.25">
      <c r="B33" s="6"/>
      <c r="Q33" s="7"/>
    </row>
    <row r="34" spans="2:17" x14ac:dyDescent="0.25">
      <c r="B34" s="6"/>
      <c r="Q34" s="7"/>
    </row>
    <row r="35" spans="2:17" x14ac:dyDescent="0.25">
      <c r="B35" s="6"/>
      <c r="Q35" s="7"/>
    </row>
    <row r="36" spans="2:17" x14ac:dyDescent="0.25">
      <c r="B36" s="6"/>
      <c r="Q36" s="7"/>
    </row>
    <row r="37" spans="2:17" x14ac:dyDescent="0.25">
      <c r="B37" s="6"/>
      <c r="Q37" s="7"/>
    </row>
    <row r="38" spans="2:17" x14ac:dyDescent="0.25">
      <c r="B38" s="6"/>
      <c r="Q38" s="7"/>
    </row>
    <row r="39" spans="2:17" x14ac:dyDescent="0.25">
      <c r="B39" s="6"/>
      <c r="Q39" s="7"/>
    </row>
    <row r="40" spans="2:17" x14ac:dyDescent="0.25">
      <c r="B40" s="6"/>
      <c r="Q40" s="7"/>
    </row>
    <row r="41" spans="2:17" x14ac:dyDescent="0.25">
      <c r="B41" s="6"/>
      <c r="Q41" s="7"/>
    </row>
    <row r="42" spans="2:17" x14ac:dyDescent="0.25">
      <c r="B42" s="6"/>
      <c r="Q42" s="7"/>
    </row>
    <row r="43" spans="2:17" x14ac:dyDescent="0.25">
      <c r="B43" s="6"/>
      <c r="Q43" s="7"/>
    </row>
    <row r="44" spans="2:17" x14ac:dyDescent="0.25">
      <c r="B44" s="6"/>
      <c r="Q44" s="7"/>
    </row>
    <row r="45" spans="2:17" x14ac:dyDescent="0.25">
      <c r="B45" s="6"/>
      <c r="Q45" s="7"/>
    </row>
    <row r="46" spans="2:17" x14ac:dyDescent="0.25">
      <c r="B46" s="6"/>
      <c r="Q46" s="7"/>
    </row>
    <row r="47" spans="2:17" x14ac:dyDescent="0.25">
      <c r="B47" s="6"/>
      <c r="Q47" s="7"/>
    </row>
    <row r="48" spans="2:17" x14ac:dyDescent="0.25">
      <c r="B48" s="6"/>
      <c r="Q48" s="7"/>
    </row>
    <row r="49" spans="2:17" x14ac:dyDescent="0.25">
      <c r="B49" s="6"/>
      <c r="Q49" s="7"/>
    </row>
    <row r="50" spans="2:17" x14ac:dyDescent="0.25">
      <c r="B50" s="6"/>
      <c r="Q50" s="7"/>
    </row>
    <row r="51" spans="2:17" x14ac:dyDescent="0.25">
      <c r="B51" s="6"/>
      <c r="Q51" s="7"/>
    </row>
    <row r="52" spans="2:17" x14ac:dyDescent="0.25">
      <c r="B52" s="42"/>
      <c r="C52" s="43"/>
      <c r="D52" s="45"/>
      <c r="E52" s="43"/>
      <c r="F52" s="42"/>
      <c r="G52" s="43"/>
      <c r="H52" s="43"/>
      <c r="I52" s="42"/>
      <c r="J52" s="43"/>
      <c r="K52" s="43"/>
      <c r="L52" s="42"/>
      <c r="M52" s="43"/>
      <c r="N52" s="43"/>
      <c r="O52" s="43"/>
      <c r="P52" s="43"/>
      <c r="Q52" s="43"/>
    </row>
    <row r="53" spans="2:17" x14ac:dyDescent="0.25">
      <c r="B53" s="42"/>
      <c r="C53" s="43"/>
      <c r="D53" s="45"/>
      <c r="E53" s="43"/>
      <c r="F53" s="42"/>
      <c r="G53" s="43"/>
      <c r="H53" s="43"/>
      <c r="I53" s="42"/>
      <c r="J53" s="43"/>
      <c r="K53" s="43"/>
      <c r="L53" s="42"/>
      <c r="M53" s="43"/>
      <c r="N53" s="43"/>
      <c r="O53" s="43"/>
      <c r="P53" s="43"/>
      <c r="Q53" s="43"/>
    </row>
    <row r="54" spans="2:17" x14ac:dyDescent="0.25">
      <c r="B54" s="42"/>
      <c r="C54" s="43"/>
      <c r="D54" s="45"/>
      <c r="E54" s="43"/>
      <c r="F54" s="42"/>
      <c r="G54" s="43"/>
      <c r="H54" s="43"/>
      <c r="I54" s="42"/>
      <c r="J54" s="43"/>
      <c r="K54" s="43"/>
      <c r="L54" s="42"/>
      <c r="M54" s="43"/>
      <c r="N54" s="43"/>
      <c r="O54" s="43"/>
      <c r="P54" s="43"/>
      <c r="Q54" s="43"/>
    </row>
    <row r="55" spans="2:17" x14ac:dyDescent="0.25">
      <c r="B55" s="42" t="s">
        <v>6</v>
      </c>
      <c r="C55" s="43"/>
      <c r="D55" s="44">
        <v>46149</v>
      </c>
      <c r="E55" s="43"/>
      <c r="F55" s="42" t="s">
        <v>7</v>
      </c>
      <c r="G55" s="43"/>
      <c r="H55" s="43"/>
      <c r="I55" s="42" t="s">
        <v>17</v>
      </c>
      <c r="J55" s="43"/>
      <c r="K55" s="43"/>
      <c r="L55" s="42" t="s">
        <v>8</v>
      </c>
      <c r="M55" s="43"/>
      <c r="N55" s="43"/>
      <c r="O55" s="42" t="s">
        <v>9</v>
      </c>
      <c r="P55" s="43"/>
      <c r="Q55" s="43"/>
    </row>
    <row r="56" spans="2:17" ht="15.75" x14ac:dyDescent="0.25">
      <c r="B56" s="41" t="s">
        <v>5</v>
      </c>
      <c r="C56" s="41"/>
      <c r="D56" s="41" t="s">
        <v>10</v>
      </c>
      <c r="E56" s="41"/>
      <c r="F56" s="41" t="s">
        <v>11</v>
      </c>
      <c r="G56" s="41"/>
      <c r="H56" s="41"/>
      <c r="I56" s="41" t="s">
        <v>12</v>
      </c>
      <c r="J56" s="41"/>
      <c r="K56" s="41"/>
      <c r="L56" s="41" t="s">
        <v>13</v>
      </c>
      <c r="M56" s="41"/>
      <c r="N56" s="41"/>
      <c r="O56" s="41" t="s">
        <v>14</v>
      </c>
      <c r="P56" s="41"/>
      <c r="Q56" s="41"/>
    </row>
  </sheetData>
  <mergeCells count="38">
    <mergeCell ref="B2:C7"/>
    <mergeCell ref="D2:G4"/>
    <mergeCell ref="H2:L4"/>
    <mergeCell ref="M2:Q4"/>
    <mergeCell ref="D5:G7"/>
    <mergeCell ref="H5:O6"/>
    <mergeCell ref="P5:Q6"/>
    <mergeCell ref="B21:Q23"/>
    <mergeCell ref="B52:C52"/>
    <mergeCell ref="D52:E52"/>
    <mergeCell ref="F52:H52"/>
    <mergeCell ref="I52:K52"/>
    <mergeCell ref="L52:N52"/>
    <mergeCell ref="O52:Q52"/>
    <mergeCell ref="O54:Q54"/>
    <mergeCell ref="B53:C53"/>
    <mergeCell ref="D53:E53"/>
    <mergeCell ref="F53:H53"/>
    <mergeCell ref="I53:K53"/>
    <mergeCell ref="L53:N53"/>
    <mergeCell ref="O53:Q53"/>
    <mergeCell ref="B54:C54"/>
    <mergeCell ref="D54:E54"/>
    <mergeCell ref="F54:H54"/>
    <mergeCell ref="I54:K54"/>
    <mergeCell ref="L54:N54"/>
    <mergeCell ref="O56:Q56"/>
    <mergeCell ref="B55:C55"/>
    <mergeCell ref="D55:E55"/>
    <mergeCell ref="F55:H55"/>
    <mergeCell ref="I55:K55"/>
    <mergeCell ref="L55:N55"/>
    <mergeCell ref="O55:Q55"/>
    <mergeCell ref="B56:C56"/>
    <mergeCell ref="D56:E56"/>
    <mergeCell ref="F56:H56"/>
    <mergeCell ref="I56:K56"/>
    <mergeCell ref="L56:N56"/>
  </mergeCells>
  <printOptions horizontalCentered="1"/>
  <pageMargins left="0.78740157480314965" right="0.39370078740157483" top="0.78740157480314965" bottom="0.78740157480314965" header="0.31496062992125984" footer="0.31496062992125984"/>
  <pageSetup paperSize="9" scale="86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E75B6"/>
  </sheetPr>
  <dimension ref="A1:X204"/>
  <sheetViews>
    <sheetView tabSelected="1" view="pageBreakPreview" zoomScale="85" zoomScaleNormal="70" zoomScaleSheetLayoutView="85" workbookViewId="0">
      <pane ySplit="9" topLeftCell="A161" activePane="bottomLeft" state="frozen"/>
      <selection pane="bottomLeft" activeCell="D162" sqref="D162"/>
    </sheetView>
  </sheetViews>
  <sheetFormatPr defaultRowHeight="15" x14ac:dyDescent="0.25"/>
  <cols>
    <col min="1" max="1" width="9.140625" hidden="1" customWidth="1"/>
    <col min="2" max="2" width="5.7109375" customWidth="1"/>
    <col min="3" max="3" width="55.140625" customWidth="1"/>
    <col min="4" max="4" width="111.5703125" customWidth="1"/>
    <col min="5" max="5" width="12.28515625" customWidth="1"/>
    <col min="6" max="6" width="16.5703125" style="16" customWidth="1"/>
    <col min="7" max="11" width="21" style="67" customWidth="1"/>
    <col min="12" max="13" width="20" style="67" customWidth="1"/>
    <col min="14" max="14" width="24" style="67" customWidth="1"/>
    <col min="15" max="18" width="20" style="67" customWidth="1"/>
    <col min="19" max="19" width="22.85546875" customWidth="1"/>
    <col min="20" max="20" width="16.7109375" customWidth="1"/>
  </cols>
  <sheetData>
    <row r="1" spans="1:24" ht="39.950000000000003" customHeight="1" x14ac:dyDescent="0.25">
      <c r="C1" s="67"/>
      <c r="F1"/>
      <c r="G1"/>
      <c r="H1"/>
      <c r="I1"/>
      <c r="J1"/>
      <c r="K1"/>
      <c r="L1"/>
      <c r="M1"/>
      <c r="N1"/>
      <c r="O1"/>
      <c r="P1"/>
      <c r="Q1"/>
      <c r="R1"/>
    </row>
    <row r="2" spans="1:24" s="11" customFormat="1" x14ac:dyDescent="0.25">
      <c r="A2" s="12"/>
      <c r="B2"/>
      <c r="C2" s="33" t="e" vm="2">
        <v>#VALUE!</v>
      </c>
      <c r="D2" s="24"/>
      <c r="E2" s="36" t="s">
        <v>1</v>
      </c>
      <c r="F2" s="36"/>
      <c r="G2" s="36"/>
      <c r="H2" s="36" t="s">
        <v>1</v>
      </c>
      <c r="I2" s="36"/>
      <c r="J2" s="36"/>
      <c r="K2" s="36"/>
      <c r="L2" s="36"/>
      <c r="M2" s="36"/>
      <c r="N2" s="36"/>
      <c r="O2" s="36"/>
      <c r="P2" s="36"/>
      <c r="Q2" s="37" t="s">
        <v>2</v>
      </c>
      <c r="R2" s="37"/>
      <c r="S2" s="37"/>
      <c r="T2"/>
      <c r="U2"/>
      <c r="V2"/>
      <c r="W2"/>
      <c r="X2"/>
    </row>
    <row r="3" spans="1:24" s="11" customFormat="1" x14ac:dyDescent="0.25">
      <c r="A3" s="6"/>
      <c r="B3"/>
      <c r="C3" s="34"/>
      <c r="D3" s="25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7"/>
      <c r="R3" s="37"/>
      <c r="S3" s="37"/>
      <c r="T3"/>
      <c r="U3"/>
      <c r="V3"/>
      <c r="W3"/>
      <c r="X3"/>
    </row>
    <row r="4" spans="1:24" s="11" customFormat="1" x14ac:dyDescent="0.25">
      <c r="A4" s="6"/>
      <c r="B4"/>
      <c r="C4" s="34"/>
      <c r="D4" s="25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7"/>
      <c r="R4" s="37"/>
      <c r="S4" s="37"/>
      <c r="T4"/>
      <c r="U4"/>
      <c r="V4"/>
      <c r="W4"/>
      <c r="X4"/>
    </row>
    <row r="5" spans="1:24" s="11" customFormat="1" x14ac:dyDescent="0.25">
      <c r="A5" s="6"/>
      <c r="B5"/>
      <c r="C5" s="34"/>
      <c r="D5" s="26"/>
      <c r="E5" s="36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7"/>
      <c r="R5" s="37"/>
      <c r="S5" s="37"/>
      <c r="T5"/>
      <c r="U5"/>
      <c r="V5"/>
      <c r="W5"/>
      <c r="X5"/>
    </row>
    <row r="6" spans="1:24" s="11" customFormat="1" ht="15" customHeight="1" x14ac:dyDescent="0.25">
      <c r="A6" s="6"/>
      <c r="B6"/>
      <c r="C6" s="34"/>
      <c r="D6" s="27" t="s">
        <v>3</v>
      </c>
      <c r="E6" s="28"/>
      <c r="F6" s="28"/>
      <c r="G6" s="29"/>
      <c r="H6" s="39" t="s">
        <v>34</v>
      </c>
      <c r="I6" s="39" t="s">
        <v>35</v>
      </c>
      <c r="J6" s="39"/>
      <c r="K6" s="39"/>
      <c r="L6" s="39"/>
      <c r="M6" s="39"/>
      <c r="N6" s="39"/>
      <c r="O6" s="39"/>
      <c r="P6" s="39"/>
      <c r="Q6" s="38" t="s">
        <v>5</v>
      </c>
      <c r="R6" s="38">
        <v>0</v>
      </c>
      <c r="S6" s="36" t="s">
        <v>36</v>
      </c>
    </row>
    <row r="7" spans="1:24" s="11" customFormat="1" x14ac:dyDescent="0.25">
      <c r="A7" s="13"/>
      <c r="B7"/>
      <c r="C7" s="35"/>
      <c r="D7" s="30"/>
      <c r="E7" s="31"/>
      <c r="F7" s="31"/>
      <c r="G7" s="32"/>
      <c r="H7" s="39"/>
      <c r="I7" s="39"/>
      <c r="J7" s="39"/>
      <c r="K7" s="39"/>
      <c r="L7" s="39"/>
      <c r="M7" s="39"/>
      <c r="N7" s="39"/>
      <c r="O7" s="39"/>
      <c r="P7" s="39"/>
      <c r="Q7" s="38"/>
      <c r="R7" s="38"/>
      <c r="S7" s="36"/>
    </row>
    <row r="8" spans="1:24" ht="21.95" customHeight="1" x14ac:dyDescent="0.25">
      <c r="C8" s="40" t="s">
        <v>15</v>
      </c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</row>
    <row r="9" spans="1:24" ht="38.1" customHeight="1" x14ac:dyDescent="0.25">
      <c r="C9" s="9" t="s">
        <v>18</v>
      </c>
      <c r="D9" s="18" t="s">
        <v>232</v>
      </c>
      <c r="E9" s="9" t="s">
        <v>19</v>
      </c>
      <c r="F9" s="9" t="s">
        <v>20</v>
      </c>
      <c r="G9" s="9" t="s">
        <v>29</v>
      </c>
      <c r="H9" s="9" t="s">
        <v>30</v>
      </c>
      <c r="I9" s="9" t="s">
        <v>31</v>
      </c>
      <c r="J9" s="9" t="s">
        <v>32</v>
      </c>
      <c r="K9" s="9" t="s">
        <v>33</v>
      </c>
      <c r="L9" s="9" t="s">
        <v>21</v>
      </c>
      <c r="M9" s="9" t="s">
        <v>22</v>
      </c>
      <c r="N9" s="9" t="s">
        <v>23</v>
      </c>
      <c r="O9" s="9" t="s">
        <v>24</v>
      </c>
      <c r="P9" s="9" t="s">
        <v>25</v>
      </c>
      <c r="Q9" s="9" t="s">
        <v>26</v>
      </c>
      <c r="R9" s="9" t="s">
        <v>27</v>
      </c>
      <c r="S9" s="9" t="s">
        <v>28</v>
      </c>
      <c r="T9" s="15"/>
      <c r="U9" s="22"/>
      <c r="V9" s="23"/>
      <c r="W9" s="20"/>
    </row>
    <row r="10" spans="1:24" ht="24" customHeight="1" x14ac:dyDescent="0.25">
      <c r="A10" s="8">
        <v>1</v>
      </c>
      <c r="C10" s="9" t="s">
        <v>37</v>
      </c>
      <c r="D10" s="17" t="s">
        <v>233</v>
      </c>
      <c r="E10" s="10" t="s">
        <v>398</v>
      </c>
      <c r="F10" s="10"/>
      <c r="G10" s="62"/>
      <c r="H10" s="62"/>
      <c r="I10" s="62"/>
      <c r="J10" s="62"/>
      <c r="K10" s="62"/>
      <c r="L10" s="63" t="str">
        <f t="shared" ref="L10:L18" si="0">IFERROR(AVERAGEIF(G10:K10,"&gt;0"),"-")</f>
        <v>-</v>
      </c>
      <c r="M10" s="64"/>
      <c r="N10" s="65"/>
      <c r="O10" s="64"/>
      <c r="P10" s="64"/>
      <c r="Q10" s="64"/>
      <c r="R10" s="63">
        <f t="shared" ref="R10:R18" si="1">IFERROR(MIN(G10:K10),"-")</f>
        <v>0</v>
      </c>
      <c r="S10" s="9" t="str">
        <f>IFERROR(INDEX(#REF!,MATCH(MIN(G10:K10),G10:K10,0)),"-")</f>
        <v>-</v>
      </c>
    </row>
    <row r="11" spans="1:24" ht="24" customHeight="1" x14ac:dyDescent="0.25">
      <c r="A11" s="8">
        <v>2</v>
      </c>
      <c r="C11" s="9" t="s">
        <v>38</v>
      </c>
      <c r="D11" s="17" t="s">
        <v>234</v>
      </c>
      <c r="E11" s="10"/>
      <c r="F11" s="10"/>
      <c r="G11" s="62"/>
      <c r="H11" s="62"/>
      <c r="I11" s="62"/>
      <c r="J11" s="62"/>
      <c r="K11" s="62"/>
      <c r="L11" s="63" t="str">
        <f t="shared" si="0"/>
        <v>-</v>
      </c>
      <c r="M11" s="64"/>
      <c r="N11" s="65"/>
      <c r="O11" s="64"/>
      <c r="P11" s="64"/>
      <c r="Q11" s="64"/>
      <c r="R11" s="63">
        <f t="shared" si="1"/>
        <v>0</v>
      </c>
      <c r="S11" s="9" t="str">
        <f>IFERROR(INDEX(#REF!,MATCH(MIN(G11:K11),G11:K11,0)),"-")</f>
        <v>-</v>
      </c>
    </row>
    <row r="12" spans="1:24" ht="24" customHeight="1" x14ac:dyDescent="0.25">
      <c r="A12" s="8">
        <v>3</v>
      </c>
      <c r="C12" s="9" t="s">
        <v>39</v>
      </c>
      <c r="D12" s="17" t="s">
        <v>235</v>
      </c>
      <c r="E12" s="10"/>
      <c r="F12" s="10"/>
      <c r="G12" s="62"/>
      <c r="H12" s="62"/>
      <c r="I12" s="62"/>
      <c r="J12" s="62"/>
      <c r="K12" s="62"/>
      <c r="L12" s="63" t="str">
        <f t="shared" si="0"/>
        <v>-</v>
      </c>
      <c r="M12" s="64"/>
      <c r="N12" s="65"/>
      <c r="O12" s="64"/>
      <c r="P12" s="64"/>
      <c r="Q12" s="64"/>
      <c r="R12" s="63">
        <f t="shared" si="1"/>
        <v>0</v>
      </c>
      <c r="S12" s="9" t="str">
        <f>IFERROR(INDEX(#REF!,MATCH(MIN(G12:K12),G12:K12,0)),"-")</f>
        <v>-</v>
      </c>
    </row>
    <row r="13" spans="1:24" ht="24" customHeight="1" x14ac:dyDescent="0.25">
      <c r="A13" s="8">
        <v>4</v>
      </c>
      <c r="C13" s="9" t="s">
        <v>40</v>
      </c>
      <c r="D13" s="17" t="s">
        <v>236</v>
      </c>
      <c r="E13" s="10"/>
      <c r="F13" s="10"/>
      <c r="G13" s="62"/>
      <c r="H13" s="62"/>
      <c r="I13" s="62"/>
      <c r="J13" s="62"/>
      <c r="K13" s="62"/>
      <c r="L13" s="63" t="str">
        <f t="shared" si="0"/>
        <v>-</v>
      </c>
      <c r="M13" s="64"/>
      <c r="N13" s="65"/>
      <c r="O13" s="64"/>
      <c r="P13" s="64"/>
      <c r="Q13" s="64"/>
      <c r="R13" s="63">
        <f t="shared" si="1"/>
        <v>0</v>
      </c>
      <c r="S13" s="9" t="str">
        <f>IFERROR(INDEX(#REF!,MATCH(MIN(G13:K13),G13:K13,0)),"-")</f>
        <v>-</v>
      </c>
    </row>
    <row r="14" spans="1:24" ht="24" customHeight="1" x14ac:dyDescent="0.25">
      <c r="A14" s="8">
        <v>5</v>
      </c>
      <c r="C14" s="9" t="s">
        <v>41</v>
      </c>
      <c r="D14" s="17" t="s">
        <v>237</v>
      </c>
      <c r="E14" s="10"/>
      <c r="F14" s="10"/>
      <c r="G14" s="62"/>
      <c r="H14" s="62"/>
      <c r="I14" s="62"/>
      <c r="J14" s="62"/>
      <c r="K14" s="62"/>
      <c r="L14" s="63" t="str">
        <f t="shared" si="0"/>
        <v>-</v>
      </c>
      <c r="M14" s="64"/>
      <c r="N14" s="65"/>
      <c r="O14" s="64"/>
      <c r="P14" s="64"/>
      <c r="Q14" s="64"/>
      <c r="R14" s="63">
        <f t="shared" si="1"/>
        <v>0</v>
      </c>
      <c r="S14" s="9" t="str">
        <f>IFERROR(INDEX(#REF!,MATCH(MIN(G14:K14),G14:K14,0)),"-")</f>
        <v>-</v>
      </c>
    </row>
    <row r="15" spans="1:24" ht="24" customHeight="1" x14ac:dyDescent="0.25">
      <c r="A15" s="8">
        <v>6</v>
      </c>
      <c r="C15" s="9" t="s">
        <v>42</v>
      </c>
      <c r="D15" s="17" t="s">
        <v>238</v>
      </c>
      <c r="E15" s="10"/>
      <c r="F15" s="10"/>
      <c r="G15" s="62"/>
      <c r="H15" s="62"/>
      <c r="I15" s="62"/>
      <c r="J15" s="62"/>
      <c r="K15" s="62"/>
      <c r="L15" s="63" t="str">
        <f t="shared" si="0"/>
        <v>-</v>
      </c>
      <c r="M15" s="64"/>
      <c r="N15" s="65"/>
      <c r="O15" s="64"/>
      <c r="P15" s="64"/>
      <c r="Q15" s="64"/>
      <c r="R15" s="63">
        <f t="shared" si="1"/>
        <v>0</v>
      </c>
      <c r="S15" s="9" t="str">
        <f>IFERROR(INDEX(#REF!,MATCH(MIN(G15:K15),G15:K15,0)),"-")</f>
        <v>-</v>
      </c>
    </row>
    <row r="16" spans="1:24" ht="24" customHeight="1" x14ac:dyDescent="0.25">
      <c r="A16" s="8">
        <v>7</v>
      </c>
      <c r="C16" s="9" t="s">
        <v>43</v>
      </c>
      <c r="D16" s="17" t="s">
        <v>239</v>
      </c>
      <c r="E16" s="10"/>
      <c r="F16" s="10"/>
      <c r="G16" s="62"/>
      <c r="H16" s="62"/>
      <c r="I16" s="62"/>
      <c r="J16" s="62"/>
      <c r="K16" s="62"/>
      <c r="L16" s="63" t="str">
        <f t="shared" si="0"/>
        <v>-</v>
      </c>
      <c r="M16" s="64"/>
      <c r="N16" s="65"/>
      <c r="O16" s="64"/>
      <c r="P16" s="64"/>
      <c r="Q16" s="64"/>
      <c r="R16" s="63">
        <f t="shared" si="1"/>
        <v>0</v>
      </c>
      <c r="S16" s="9" t="str">
        <f>IFERROR(INDEX(#REF!,MATCH(MIN(G16:K16),G16:K16,0)),"-")</f>
        <v>-</v>
      </c>
    </row>
    <row r="17" spans="1:19" ht="24" customHeight="1" x14ac:dyDescent="0.25">
      <c r="A17" s="8">
        <v>8</v>
      </c>
      <c r="C17" s="9" t="s">
        <v>44</v>
      </c>
      <c r="D17" s="17" t="s">
        <v>240</v>
      </c>
      <c r="E17" s="10"/>
      <c r="F17" s="10"/>
      <c r="G17" s="14"/>
      <c r="H17" s="62"/>
      <c r="I17" s="62"/>
      <c r="J17" s="62"/>
      <c r="K17" s="62"/>
      <c r="L17" s="63" t="str">
        <f t="shared" si="0"/>
        <v>-</v>
      </c>
      <c r="M17" s="64"/>
      <c r="N17" s="64"/>
      <c r="O17" s="64"/>
      <c r="P17" s="64"/>
      <c r="Q17" s="64"/>
      <c r="R17" s="63">
        <f t="shared" si="1"/>
        <v>0</v>
      </c>
      <c r="S17" s="9" t="str">
        <f>IFERROR(INDEX(#REF!,MATCH(MIN(G17:K17),G17:K17,0)),"-")</f>
        <v>-</v>
      </c>
    </row>
    <row r="18" spans="1:19" ht="24" customHeight="1" x14ac:dyDescent="0.25">
      <c r="A18" s="8">
        <v>9</v>
      </c>
      <c r="C18" s="9" t="s">
        <v>45</v>
      </c>
      <c r="D18" s="17" t="s">
        <v>241</v>
      </c>
      <c r="E18" s="10"/>
      <c r="F18" s="10"/>
      <c r="G18" s="14"/>
      <c r="H18" s="66"/>
      <c r="I18" s="62"/>
      <c r="J18" s="62"/>
      <c r="K18" s="62"/>
      <c r="L18" s="63" t="str">
        <f t="shared" si="0"/>
        <v>-</v>
      </c>
      <c r="M18" s="64"/>
      <c r="N18" s="64"/>
      <c r="O18" s="64"/>
      <c r="P18" s="64"/>
      <c r="Q18" s="64"/>
      <c r="R18" s="63">
        <f t="shared" si="1"/>
        <v>0</v>
      </c>
      <c r="S18" s="9" t="str">
        <f>IFERROR(INDEX(#REF!,MATCH(MIN(G18:K18),G18:K18,0)),"-")</f>
        <v>-</v>
      </c>
    </row>
    <row r="19" spans="1:19" ht="24" customHeight="1" x14ac:dyDescent="0.25">
      <c r="A19" s="8">
        <v>10</v>
      </c>
      <c r="C19" s="9" t="s">
        <v>46</v>
      </c>
      <c r="D19" s="17" t="s">
        <v>242</v>
      </c>
      <c r="E19" s="10"/>
      <c r="F19" s="10"/>
      <c r="G19" s="62"/>
      <c r="H19" s="62"/>
      <c r="I19" s="62"/>
      <c r="J19" s="62"/>
      <c r="K19" s="62"/>
      <c r="L19" s="63" t="str">
        <f t="shared" ref="L19:L86" si="2">IFERROR(AVERAGEIF(G19:K19,"&gt;0"),"-")</f>
        <v>-</v>
      </c>
      <c r="M19" s="64"/>
      <c r="N19" s="64"/>
      <c r="O19" s="64"/>
      <c r="P19" s="64"/>
      <c r="Q19" s="64"/>
      <c r="R19" s="63">
        <f t="shared" ref="R19:R86" si="3">IFERROR(MIN(G19:K19),"-")</f>
        <v>0</v>
      </c>
      <c r="S19" s="9" t="str">
        <f>IFERROR(INDEX(#REF!,MATCH(MIN(G19:K19),G19:K19,0)),"-")</f>
        <v>-</v>
      </c>
    </row>
    <row r="20" spans="1:19" ht="24" customHeight="1" x14ac:dyDescent="0.25">
      <c r="A20" s="8">
        <v>11</v>
      </c>
      <c r="C20" s="9" t="s">
        <v>47</v>
      </c>
      <c r="D20" s="17" t="s">
        <v>243</v>
      </c>
      <c r="E20" s="10"/>
      <c r="F20" s="10"/>
      <c r="G20" s="62"/>
      <c r="H20" s="62"/>
      <c r="I20" s="62"/>
      <c r="J20" s="62"/>
      <c r="K20" s="62"/>
      <c r="L20" s="63" t="str">
        <f t="shared" si="2"/>
        <v>-</v>
      </c>
      <c r="M20" s="64"/>
      <c r="N20" s="64"/>
      <c r="O20" s="64"/>
      <c r="P20" s="64"/>
      <c r="Q20" s="64"/>
      <c r="R20" s="63">
        <f t="shared" si="3"/>
        <v>0</v>
      </c>
      <c r="S20" s="9" t="str">
        <f>IFERROR(INDEX(#REF!,MATCH(MIN(G20:K20),G20:K20,0)),"-")</f>
        <v>-</v>
      </c>
    </row>
    <row r="21" spans="1:19" ht="24" customHeight="1" x14ac:dyDescent="0.25">
      <c r="A21" s="8">
        <v>12</v>
      </c>
      <c r="C21" s="9" t="s">
        <v>48</v>
      </c>
      <c r="D21" s="17" t="s">
        <v>244</v>
      </c>
      <c r="E21" s="10"/>
      <c r="F21" s="10"/>
      <c r="G21" s="62"/>
      <c r="H21" s="62"/>
      <c r="I21" s="62"/>
      <c r="J21" s="62"/>
      <c r="K21" s="62"/>
      <c r="L21" s="63" t="str">
        <f t="shared" si="2"/>
        <v>-</v>
      </c>
      <c r="M21" s="64"/>
      <c r="N21" s="64"/>
      <c r="O21" s="64"/>
      <c r="P21" s="64"/>
      <c r="Q21" s="64"/>
      <c r="R21" s="63">
        <f t="shared" si="3"/>
        <v>0</v>
      </c>
      <c r="S21" s="9" t="str">
        <f>IFERROR(INDEX(#REF!,MATCH(MIN(G21:K21),G21:K21,0)),"-")</f>
        <v>-</v>
      </c>
    </row>
    <row r="22" spans="1:19" ht="24" customHeight="1" x14ac:dyDescent="0.25">
      <c r="A22" s="8">
        <v>13</v>
      </c>
      <c r="C22" s="9" t="s">
        <v>49</v>
      </c>
      <c r="D22" s="17" t="s">
        <v>245</v>
      </c>
      <c r="E22" s="10"/>
      <c r="F22" s="60"/>
      <c r="G22" s="66"/>
      <c r="H22" s="66"/>
      <c r="I22" s="62"/>
      <c r="J22" s="62"/>
      <c r="K22" s="62"/>
      <c r="L22" s="63" t="str">
        <f t="shared" si="2"/>
        <v>-</v>
      </c>
      <c r="M22" s="64"/>
      <c r="N22" s="64"/>
      <c r="O22" s="64"/>
      <c r="P22" s="64"/>
      <c r="Q22" s="64"/>
      <c r="R22" s="63">
        <f t="shared" si="3"/>
        <v>0</v>
      </c>
      <c r="S22" s="9" t="str">
        <f>IFERROR(INDEX(#REF!,MATCH(MIN(G22:K22),G22:K22,0)),"-")</f>
        <v>-</v>
      </c>
    </row>
    <row r="23" spans="1:19" ht="24" customHeight="1" x14ac:dyDescent="0.25">
      <c r="A23" s="8">
        <v>14</v>
      </c>
      <c r="C23" s="9" t="s">
        <v>50</v>
      </c>
      <c r="D23" s="17" t="s">
        <v>246</v>
      </c>
      <c r="E23" s="10"/>
      <c r="F23" s="60"/>
      <c r="G23" s="66"/>
      <c r="H23" s="66"/>
      <c r="I23" s="62"/>
      <c r="J23" s="62"/>
      <c r="K23" s="62"/>
      <c r="L23" s="63" t="str">
        <f t="shared" si="2"/>
        <v>-</v>
      </c>
      <c r="M23" s="64"/>
      <c r="N23" s="64"/>
      <c r="O23" s="64"/>
      <c r="P23" s="64"/>
      <c r="Q23" s="64"/>
      <c r="R23" s="63">
        <f t="shared" si="3"/>
        <v>0</v>
      </c>
      <c r="S23" s="9" t="str">
        <f>IFERROR(INDEX(#REF!,MATCH(MIN(G23:K23),G23:K23,0)),"-")</f>
        <v>-</v>
      </c>
    </row>
    <row r="24" spans="1:19" ht="24" customHeight="1" x14ac:dyDescent="0.25">
      <c r="A24" s="8">
        <v>15</v>
      </c>
      <c r="C24" s="9" t="s">
        <v>51</v>
      </c>
      <c r="D24" s="17" t="s">
        <v>247</v>
      </c>
      <c r="E24" s="10"/>
      <c r="F24" s="60"/>
      <c r="G24" s="66"/>
      <c r="H24" s="66"/>
      <c r="I24" s="62"/>
      <c r="J24" s="62"/>
      <c r="K24" s="62"/>
      <c r="L24" s="63" t="str">
        <f t="shared" si="2"/>
        <v>-</v>
      </c>
      <c r="M24" s="64"/>
      <c r="N24" s="64"/>
      <c r="O24" s="64"/>
      <c r="P24" s="64"/>
      <c r="Q24" s="64"/>
      <c r="R24" s="63">
        <f t="shared" si="3"/>
        <v>0</v>
      </c>
      <c r="S24" s="9" t="str">
        <f>IFERROR(INDEX(#REF!,MATCH(MIN(G24:K24),G24:K24,0)),"-")</f>
        <v>-</v>
      </c>
    </row>
    <row r="25" spans="1:19" ht="24" customHeight="1" x14ac:dyDescent="0.25">
      <c r="A25" s="8">
        <v>16</v>
      </c>
      <c r="C25" s="9" t="s">
        <v>52</v>
      </c>
      <c r="D25" s="61" t="s">
        <v>248</v>
      </c>
      <c r="E25" s="10"/>
      <c r="F25" s="60"/>
      <c r="G25" s="66"/>
      <c r="H25" s="66"/>
      <c r="I25" s="62"/>
      <c r="J25" s="62"/>
      <c r="K25" s="62"/>
      <c r="L25" s="63" t="str">
        <f t="shared" si="2"/>
        <v>-</v>
      </c>
      <c r="M25" s="64"/>
      <c r="N25" s="64"/>
      <c r="O25" s="64"/>
      <c r="P25" s="64"/>
      <c r="Q25" s="64"/>
      <c r="R25" s="63">
        <f t="shared" si="3"/>
        <v>0</v>
      </c>
      <c r="S25" s="9" t="str">
        <f>IFERROR(INDEX(#REF!,MATCH(MIN(G25:K25),G25:K25,0)),"-")</f>
        <v>-</v>
      </c>
    </row>
    <row r="26" spans="1:19" ht="24" customHeight="1" x14ac:dyDescent="0.25">
      <c r="A26" s="8">
        <v>17</v>
      </c>
      <c r="C26" s="9" t="s">
        <v>53</v>
      </c>
      <c r="D26" s="61" t="s">
        <v>249</v>
      </c>
      <c r="E26" s="10"/>
      <c r="F26" s="60"/>
      <c r="G26" s="66"/>
      <c r="H26" s="66"/>
      <c r="I26" s="62"/>
      <c r="J26" s="62"/>
      <c r="K26" s="62"/>
      <c r="L26" s="63" t="str">
        <f t="shared" si="2"/>
        <v>-</v>
      </c>
      <c r="M26" s="64"/>
      <c r="N26" s="64"/>
      <c r="O26" s="64"/>
      <c r="P26" s="64"/>
      <c r="Q26" s="64"/>
      <c r="R26" s="63">
        <f t="shared" si="3"/>
        <v>0</v>
      </c>
      <c r="S26" s="9" t="str">
        <f>IFERROR(INDEX(#REF!,MATCH(MIN(G26:K26),G26:K26,0)),"-")</f>
        <v>-</v>
      </c>
    </row>
    <row r="27" spans="1:19" ht="24" customHeight="1" x14ac:dyDescent="0.25">
      <c r="A27" s="8">
        <v>18</v>
      </c>
      <c r="C27" s="9" t="s">
        <v>54</v>
      </c>
      <c r="D27" s="61" t="s">
        <v>250</v>
      </c>
      <c r="E27" s="10"/>
      <c r="F27" s="60"/>
      <c r="G27" s="66"/>
      <c r="H27" s="66"/>
      <c r="I27" s="62"/>
      <c r="J27" s="62"/>
      <c r="K27" s="62"/>
      <c r="L27" s="63" t="str">
        <f t="shared" si="2"/>
        <v>-</v>
      </c>
      <c r="M27" s="64"/>
      <c r="N27" s="64"/>
      <c r="O27" s="64"/>
      <c r="P27" s="64"/>
      <c r="Q27" s="64"/>
      <c r="R27" s="63">
        <f t="shared" si="3"/>
        <v>0</v>
      </c>
      <c r="S27" s="9" t="str">
        <f>IFERROR(INDEX(#REF!,MATCH(MIN(G27:K27),G27:K27,0)),"-")</f>
        <v>-</v>
      </c>
    </row>
    <row r="28" spans="1:19" ht="24" customHeight="1" x14ac:dyDescent="0.25">
      <c r="A28" s="8">
        <v>19</v>
      </c>
      <c r="C28" s="9" t="s">
        <v>55</v>
      </c>
      <c r="D28" s="61" t="s">
        <v>251</v>
      </c>
      <c r="E28" s="10"/>
      <c r="F28" s="60"/>
      <c r="G28" s="66"/>
      <c r="H28" s="66"/>
      <c r="I28" s="62"/>
      <c r="J28" s="62"/>
      <c r="K28" s="62"/>
      <c r="L28" s="63" t="str">
        <f t="shared" si="2"/>
        <v>-</v>
      </c>
      <c r="M28" s="64"/>
      <c r="N28" s="64"/>
      <c r="O28" s="64"/>
      <c r="P28" s="64"/>
      <c r="Q28" s="64"/>
      <c r="R28" s="63">
        <f t="shared" si="3"/>
        <v>0</v>
      </c>
      <c r="S28" s="9" t="str">
        <f>IFERROR(INDEX(#REF!,MATCH(MIN(G28:K28),G28:K28,0)),"-")</f>
        <v>-</v>
      </c>
    </row>
    <row r="29" spans="1:19" ht="24" customHeight="1" x14ac:dyDescent="0.25">
      <c r="A29" s="8">
        <v>20</v>
      </c>
      <c r="C29" s="9" t="s">
        <v>56</v>
      </c>
      <c r="D29" s="61" t="s">
        <v>252</v>
      </c>
      <c r="E29" s="10"/>
      <c r="F29" s="60"/>
      <c r="G29" s="66"/>
      <c r="H29" s="66"/>
      <c r="I29" s="62"/>
      <c r="J29" s="62"/>
      <c r="K29" s="62"/>
      <c r="L29" s="63" t="str">
        <f t="shared" si="2"/>
        <v>-</v>
      </c>
      <c r="M29" s="64"/>
      <c r="N29" s="64"/>
      <c r="O29" s="64"/>
      <c r="P29" s="64"/>
      <c r="Q29" s="64"/>
      <c r="R29" s="63">
        <f t="shared" si="3"/>
        <v>0</v>
      </c>
      <c r="S29" s="9" t="str">
        <f>IFERROR(INDEX(#REF!,MATCH(MIN(G29:K29),G29:K29,0)),"-")</f>
        <v>-</v>
      </c>
    </row>
    <row r="30" spans="1:19" ht="24" customHeight="1" x14ac:dyDescent="0.25">
      <c r="A30" s="8">
        <v>21</v>
      </c>
      <c r="C30" s="9" t="s">
        <v>57</v>
      </c>
      <c r="D30" s="61" t="s">
        <v>253</v>
      </c>
      <c r="E30" s="10"/>
      <c r="F30" s="60"/>
      <c r="G30" s="66"/>
      <c r="H30" s="66"/>
      <c r="I30" s="62"/>
      <c r="J30" s="62"/>
      <c r="K30" s="62"/>
      <c r="L30" s="63" t="str">
        <f t="shared" si="2"/>
        <v>-</v>
      </c>
      <c r="M30" s="64"/>
      <c r="N30" s="64"/>
      <c r="O30" s="64"/>
      <c r="P30" s="64"/>
      <c r="Q30" s="64"/>
      <c r="R30" s="63">
        <f t="shared" si="3"/>
        <v>0</v>
      </c>
      <c r="S30" s="9" t="str">
        <f>IFERROR(INDEX(#REF!,MATCH(MIN(G30:K30),G30:K30,0)),"-")</f>
        <v>-</v>
      </c>
    </row>
    <row r="31" spans="1:19" ht="24" customHeight="1" x14ac:dyDescent="0.25">
      <c r="A31" s="8">
        <v>22</v>
      </c>
      <c r="C31" s="9" t="s">
        <v>58</v>
      </c>
      <c r="D31" s="61" t="s">
        <v>254</v>
      </c>
      <c r="E31" s="10"/>
      <c r="F31" s="60"/>
      <c r="G31" s="66"/>
      <c r="H31" s="66"/>
      <c r="I31" s="62"/>
      <c r="J31" s="62"/>
      <c r="K31" s="62"/>
      <c r="L31" s="63" t="str">
        <f t="shared" si="2"/>
        <v>-</v>
      </c>
      <c r="M31" s="64"/>
      <c r="N31" s="64"/>
      <c r="O31" s="64"/>
      <c r="P31" s="64"/>
      <c r="Q31" s="64"/>
      <c r="R31" s="63">
        <f t="shared" si="3"/>
        <v>0</v>
      </c>
      <c r="S31" s="9" t="str">
        <f>IFERROR(INDEX(#REF!,MATCH(MIN(G31:K31),G31:K31,0)),"-")</f>
        <v>-</v>
      </c>
    </row>
    <row r="32" spans="1:19" ht="24" customHeight="1" x14ac:dyDescent="0.25">
      <c r="A32" s="8">
        <v>23</v>
      </c>
      <c r="C32" s="9" t="s">
        <v>59</v>
      </c>
      <c r="D32" s="61" t="s">
        <v>255</v>
      </c>
      <c r="E32" s="10"/>
      <c r="F32" s="60"/>
      <c r="G32" s="66"/>
      <c r="H32" s="66"/>
      <c r="I32" s="62"/>
      <c r="J32" s="62"/>
      <c r="K32" s="62"/>
      <c r="L32" s="63" t="str">
        <f t="shared" si="2"/>
        <v>-</v>
      </c>
      <c r="M32" s="64"/>
      <c r="N32" s="64"/>
      <c r="O32" s="64"/>
      <c r="P32" s="64"/>
      <c r="Q32" s="64"/>
      <c r="R32" s="63">
        <f t="shared" si="3"/>
        <v>0</v>
      </c>
      <c r="S32" s="9" t="str">
        <f>IFERROR(INDEX(#REF!,MATCH(MIN(G32:K32),G32:K32,0)),"-")</f>
        <v>-</v>
      </c>
    </row>
    <row r="33" spans="1:19" ht="24" customHeight="1" x14ac:dyDescent="0.25">
      <c r="A33" s="8">
        <v>24</v>
      </c>
      <c r="C33" s="9" t="s">
        <v>60</v>
      </c>
      <c r="D33" s="61" t="s">
        <v>256</v>
      </c>
      <c r="E33" s="10"/>
      <c r="F33" s="60"/>
      <c r="G33" s="66"/>
      <c r="H33" s="66"/>
      <c r="I33" s="62"/>
      <c r="J33" s="62"/>
      <c r="K33" s="62"/>
      <c r="L33" s="63" t="str">
        <f t="shared" si="2"/>
        <v>-</v>
      </c>
      <c r="M33" s="64"/>
      <c r="N33" s="64"/>
      <c r="O33" s="64"/>
      <c r="P33" s="64"/>
      <c r="Q33" s="64"/>
      <c r="R33" s="63">
        <f t="shared" si="3"/>
        <v>0</v>
      </c>
      <c r="S33" s="9" t="str">
        <f>IFERROR(INDEX(#REF!,MATCH(MIN(G33:K33),G33:K33,0)),"-")</f>
        <v>-</v>
      </c>
    </row>
    <row r="34" spans="1:19" ht="24" customHeight="1" x14ac:dyDescent="0.25">
      <c r="A34" s="8">
        <v>25</v>
      </c>
      <c r="C34" s="9" t="s">
        <v>61</v>
      </c>
      <c r="D34" s="61" t="s">
        <v>257</v>
      </c>
      <c r="E34" s="10"/>
      <c r="F34" s="60"/>
      <c r="G34" s="66"/>
      <c r="H34" s="66"/>
      <c r="I34" s="62"/>
      <c r="J34" s="62"/>
      <c r="K34" s="62"/>
      <c r="L34" s="63" t="str">
        <f t="shared" si="2"/>
        <v>-</v>
      </c>
      <c r="M34" s="64"/>
      <c r="N34" s="64"/>
      <c r="O34" s="64"/>
      <c r="P34" s="64"/>
      <c r="Q34" s="64"/>
      <c r="R34" s="63">
        <f t="shared" si="3"/>
        <v>0</v>
      </c>
      <c r="S34" s="9" t="str">
        <f>IFERROR(INDEX(#REF!,MATCH(MIN(G34:K34),G34:K34,0)),"-")</f>
        <v>-</v>
      </c>
    </row>
    <row r="35" spans="1:19" ht="24" customHeight="1" x14ac:dyDescent="0.25">
      <c r="A35" s="8">
        <v>26</v>
      </c>
      <c r="C35" s="9" t="s">
        <v>62</v>
      </c>
      <c r="D35" s="61" t="s">
        <v>258</v>
      </c>
      <c r="E35" s="10"/>
      <c r="F35" s="10"/>
      <c r="G35" s="62"/>
      <c r="H35" s="62"/>
      <c r="I35" s="62"/>
      <c r="J35" s="62"/>
      <c r="K35" s="62"/>
      <c r="L35" s="63" t="str">
        <f t="shared" si="2"/>
        <v>-</v>
      </c>
      <c r="M35" s="64"/>
      <c r="N35" s="64"/>
      <c r="O35" s="64"/>
      <c r="P35" s="64"/>
      <c r="Q35" s="64"/>
      <c r="R35" s="63">
        <f t="shared" si="3"/>
        <v>0</v>
      </c>
      <c r="S35" s="9" t="str">
        <f>IFERROR(INDEX(#REF!,MATCH(MIN(G35:K35),G35:K35,0)),"-")</f>
        <v>-</v>
      </c>
    </row>
    <row r="36" spans="1:19" ht="24" customHeight="1" x14ac:dyDescent="0.25">
      <c r="A36" s="8">
        <v>27</v>
      </c>
      <c r="C36" s="9" t="s">
        <v>63</v>
      </c>
      <c r="D36" s="61" t="s">
        <v>259</v>
      </c>
      <c r="E36" s="10"/>
      <c r="F36" s="10"/>
      <c r="G36" s="62"/>
      <c r="H36" s="62"/>
      <c r="I36" s="62"/>
      <c r="J36" s="62"/>
      <c r="K36" s="62"/>
      <c r="L36" s="63" t="str">
        <f t="shared" si="2"/>
        <v>-</v>
      </c>
      <c r="M36" s="64"/>
      <c r="N36" s="64"/>
      <c r="O36" s="64"/>
      <c r="P36" s="64"/>
      <c r="Q36" s="64"/>
      <c r="R36" s="63">
        <f t="shared" si="3"/>
        <v>0</v>
      </c>
      <c r="S36" s="9" t="str">
        <f>IFERROR(INDEX(#REF!,MATCH(MIN(G36:K36),G36:K36,0)),"-")</f>
        <v>-</v>
      </c>
    </row>
    <row r="37" spans="1:19" ht="24" customHeight="1" x14ac:dyDescent="0.25">
      <c r="A37" s="8">
        <v>28</v>
      </c>
      <c r="C37" s="9" t="s">
        <v>64</v>
      </c>
      <c r="D37" s="61" t="s">
        <v>260</v>
      </c>
      <c r="E37" s="10"/>
      <c r="F37" s="10"/>
      <c r="G37" s="62"/>
      <c r="H37" s="62"/>
      <c r="I37" s="62"/>
      <c r="J37" s="62"/>
      <c r="K37" s="62"/>
      <c r="L37" s="63" t="str">
        <f t="shared" si="2"/>
        <v>-</v>
      </c>
      <c r="M37" s="64"/>
      <c r="N37" s="64"/>
      <c r="O37" s="64"/>
      <c r="P37" s="64"/>
      <c r="Q37" s="64"/>
      <c r="R37" s="63">
        <f t="shared" si="3"/>
        <v>0</v>
      </c>
      <c r="S37" s="9" t="str">
        <f>IFERROR(INDEX(#REF!,MATCH(MIN(G37:K37),G37:K37,0)),"-")</f>
        <v>-</v>
      </c>
    </row>
    <row r="38" spans="1:19" ht="24" customHeight="1" x14ac:dyDescent="0.25">
      <c r="A38" s="8">
        <v>29</v>
      </c>
      <c r="C38" s="9" t="s">
        <v>65</v>
      </c>
      <c r="D38" s="61" t="s">
        <v>261</v>
      </c>
      <c r="E38" s="10"/>
      <c r="F38" s="10"/>
      <c r="G38" s="66"/>
      <c r="H38" s="62"/>
      <c r="I38" s="62"/>
      <c r="J38" s="62"/>
      <c r="K38" s="62"/>
      <c r="L38" s="63" t="str">
        <f t="shared" si="2"/>
        <v>-</v>
      </c>
      <c r="M38" s="64"/>
      <c r="N38" s="64"/>
      <c r="O38" s="64"/>
      <c r="P38" s="64"/>
      <c r="Q38" s="64"/>
      <c r="R38" s="63">
        <f t="shared" si="3"/>
        <v>0</v>
      </c>
      <c r="S38" s="9" t="str">
        <f>IFERROR(INDEX(#REF!,MATCH(MIN(G38:K38),G38:K38,0)),"-")</f>
        <v>-</v>
      </c>
    </row>
    <row r="39" spans="1:19" ht="24" customHeight="1" x14ac:dyDescent="0.25">
      <c r="A39" s="8">
        <v>30</v>
      </c>
      <c r="C39" s="9" t="s">
        <v>66</v>
      </c>
      <c r="D39" s="61" t="s">
        <v>262</v>
      </c>
      <c r="E39" s="10"/>
      <c r="F39" s="10"/>
      <c r="G39" s="62"/>
      <c r="H39" s="62"/>
      <c r="I39" s="62"/>
      <c r="J39" s="62"/>
      <c r="K39" s="62"/>
      <c r="L39" s="63" t="str">
        <f t="shared" si="2"/>
        <v>-</v>
      </c>
      <c r="M39" s="64"/>
      <c r="N39" s="64"/>
      <c r="O39" s="64"/>
      <c r="P39" s="64"/>
      <c r="Q39" s="64"/>
      <c r="R39" s="63">
        <f t="shared" si="3"/>
        <v>0</v>
      </c>
      <c r="S39" s="9" t="str">
        <f>IFERROR(INDEX(#REF!,MATCH(MIN(G39:K39),G39:K39,0)),"-")</f>
        <v>-</v>
      </c>
    </row>
    <row r="40" spans="1:19" ht="24" customHeight="1" x14ac:dyDescent="0.25">
      <c r="A40" s="8">
        <v>31</v>
      </c>
      <c r="C40" s="9" t="s">
        <v>67</v>
      </c>
      <c r="D40" s="61" t="s">
        <v>263</v>
      </c>
      <c r="E40" s="10"/>
      <c r="F40" s="10"/>
      <c r="G40" s="62"/>
      <c r="H40" s="62"/>
      <c r="I40" s="62"/>
      <c r="J40" s="62"/>
      <c r="K40" s="62"/>
      <c r="L40" s="63" t="str">
        <f t="shared" si="2"/>
        <v>-</v>
      </c>
      <c r="M40" s="64"/>
      <c r="N40" s="64"/>
      <c r="O40" s="64"/>
      <c r="P40" s="64"/>
      <c r="Q40" s="64"/>
      <c r="R40" s="63">
        <f t="shared" si="3"/>
        <v>0</v>
      </c>
      <c r="S40" s="9" t="str">
        <f>IFERROR(INDEX(#REF!,MATCH(MIN(G40:K40),G40:K40,0)),"-")</f>
        <v>-</v>
      </c>
    </row>
    <row r="41" spans="1:19" ht="24" customHeight="1" x14ac:dyDescent="0.25">
      <c r="A41" s="8">
        <v>32</v>
      </c>
      <c r="C41" s="9" t="s">
        <v>68</v>
      </c>
      <c r="D41" s="61" t="s">
        <v>264</v>
      </c>
      <c r="E41" s="10"/>
      <c r="F41" s="10"/>
      <c r="G41" s="62"/>
      <c r="H41" s="62"/>
      <c r="I41" s="62"/>
      <c r="J41" s="62"/>
      <c r="K41" s="62"/>
      <c r="L41" s="63" t="str">
        <f t="shared" si="2"/>
        <v>-</v>
      </c>
      <c r="M41" s="64"/>
      <c r="N41" s="64"/>
      <c r="O41" s="64"/>
      <c r="P41" s="64"/>
      <c r="Q41" s="64"/>
      <c r="R41" s="63">
        <f t="shared" si="3"/>
        <v>0</v>
      </c>
      <c r="S41" s="9" t="str">
        <f>IFERROR(INDEX(#REF!,MATCH(MIN(G41:K41),G41:K41,0)),"-")</f>
        <v>-</v>
      </c>
    </row>
    <row r="42" spans="1:19" ht="24" customHeight="1" x14ac:dyDescent="0.25">
      <c r="A42" s="8">
        <v>33</v>
      </c>
      <c r="C42" s="9" t="s">
        <v>69</v>
      </c>
      <c r="D42" s="61" t="s">
        <v>265</v>
      </c>
      <c r="E42" s="10"/>
      <c r="F42" s="10"/>
      <c r="G42" s="62"/>
      <c r="H42" s="62"/>
      <c r="I42" s="62"/>
      <c r="J42" s="62"/>
      <c r="K42" s="62"/>
      <c r="L42" s="63" t="str">
        <f t="shared" si="2"/>
        <v>-</v>
      </c>
      <c r="M42" s="64"/>
      <c r="N42" s="64"/>
      <c r="O42" s="64"/>
      <c r="P42" s="64"/>
      <c r="Q42" s="64"/>
      <c r="R42" s="63">
        <f t="shared" si="3"/>
        <v>0</v>
      </c>
      <c r="S42" s="9" t="str">
        <f>IFERROR(INDEX(#REF!,MATCH(MIN(G42:K42),G42:K42,0)),"-")</f>
        <v>-</v>
      </c>
    </row>
    <row r="43" spans="1:19" ht="24" customHeight="1" x14ac:dyDescent="0.25">
      <c r="A43" s="8">
        <v>34</v>
      </c>
      <c r="C43" s="9" t="s">
        <v>70</v>
      </c>
      <c r="D43" s="61" t="s">
        <v>266</v>
      </c>
      <c r="E43" s="10"/>
      <c r="F43" s="10"/>
      <c r="G43" s="62"/>
      <c r="H43" s="62"/>
      <c r="I43" s="62"/>
      <c r="J43" s="62"/>
      <c r="K43" s="62"/>
      <c r="L43" s="63" t="str">
        <f t="shared" si="2"/>
        <v>-</v>
      </c>
      <c r="M43" s="64"/>
      <c r="N43" s="64"/>
      <c r="O43" s="64"/>
      <c r="P43" s="64"/>
      <c r="Q43" s="64"/>
      <c r="R43" s="63">
        <f t="shared" si="3"/>
        <v>0</v>
      </c>
      <c r="S43" s="9" t="str">
        <f>IFERROR(INDEX(#REF!,MATCH(MIN(G43:K43),G43:K43,0)),"-")</f>
        <v>-</v>
      </c>
    </row>
    <row r="44" spans="1:19" ht="24" customHeight="1" x14ac:dyDescent="0.25">
      <c r="A44" s="8">
        <v>35</v>
      </c>
      <c r="C44" s="9" t="s">
        <v>71</v>
      </c>
      <c r="D44" s="17" t="s">
        <v>267</v>
      </c>
      <c r="E44" s="10"/>
      <c r="F44" s="10"/>
      <c r="G44" s="62"/>
      <c r="H44" s="62"/>
      <c r="I44" s="62"/>
      <c r="J44" s="62"/>
      <c r="K44" s="62"/>
      <c r="L44" s="63" t="str">
        <f t="shared" si="2"/>
        <v>-</v>
      </c>
      <c r="M44" s="64"/>
      <c r="N44" s="64"/>
      <c r="O44" s="64"/>
      <c r="P44" s="64"/>
      <c r="Q44" s="64"/>
      <c r="R44" s="63">
        <f t="shared" si="3"/>
        <v>0</v>
      </c>
      <c r="S44" s="9" t="str">
        <f>IFERROR(INDEX(#REF!,MATCH(MIN(G44:K44),G44:K44,0)),"-")</f>
        <v>-</v>
      </c>
    </row>
    <row r="45" spans="1:19" ht="24" customHeight="1" x14ac:dyDescent="0.25">
      <c r="A45" s="8">
        <v>36</v>
      </c>
      <c r="C45" s="9" t="s">
        <v>72</v>
      </c>
      <c r="D45" s="17" t="s">
        <v>268</v>
      </c>
      <c r="E45" s="10"/>
      <c r="F45" s="10"/>
      <c r="G45" s="62"/>
      <c r="H45" s="62"/>
      <c r="I45" s="62"/>
      <c r="J45" s="62"/>
      <c r="K45" s="62"/>
      <c r="L45" s="63" t="str">
        <f t="shared" si="2"/>
        <v>-</v>
      </c>
      <c r="M45" s="64"/>
      <c r="N45" s="64"/>
      <c r="O45" s="64"/>
      <c r="P45" s="64"/>
      <c r="Q45" s="64"/>
      <c r="R45" s="63">
        <f t="shared" si="3"/>
        <v>0</v>
      </c>
      <c r="S45" s="9" t="str">
        <f>IFERROR(INDEX(#REF!,MATCH(MIN(G45:K45),G45:K45,0)),"-")</f>
        <v>-</v>
      </c>
    </row>
    <row r="46" spans="1:19" ht="24" customHeight="1" x14ac:dyDescent="0.25">
      <c r="A46" s="8">
        <v>37</v>
      </c>
      <c r="C46" s="9" t="s">
        <v>73</v>
      </c>
      <c r="D46" s="17" t="s">
        <v>269</v>
      </c>
      <c r="E46" s="10"/>
      <c r="F46" s="10"/>
      <c r="G46" s="62"/>
      <c r="H46" s="62"/>
      <c r="I46" s="62"/>
      <c r="J46" s="62"/>
      <c r="K46" s="62"/>
      <c r="L46" s="63" t="str">
        <f t="shared" si="2"/>
        <v>-</v>
      </c>
      <c r="M46" s="64"/>
      <c r="N46" s="64"/>
      <c r="O46" s="64"/>
      <c r="P46" s="64"/>
      <c r="Q46" s="64"/>
      <c r="R46" s="63">
        <f t="shared" si="3"/>
        <v>0</v>
      </c>
      <c r="S46" s="9" t="str">
        <f>IFERROR(INDEX(#REF!,MATCH(MIN(G46:K46),G46:K46,0)),"-")</f>
        <v>-</v>
      </c>
    </row>
    <row r="47" spans="1:19" ht="24" customHeight="1" x14ac:dyDescent="0.25">
      <c r="A47" s="8">
        <v>38</v>
      </c>
      <c r="C47" s="9" t="s">
        <v>74</v>
      </c>
      <c r="D47" s="17" t="s">
        <v>270</v>
      </c>
      <c r="E47" s="10"/>
      <c r="F47" s="10"/>
      <c r="G47" s="62"/>
      <c r="H47" s="62"/>
      <c r="I47" s="62"/>
      <c r="J47" s="62"/>
      <c r="K47" s="62"/>
      <c r="L47" s="63" t="str">
        <f t="shared" si="2"/>
        <v>-</v>
      </c>
      <c r="M47" s="64"/>
      <c r="N47" s="64"/>
      <c r="O47" s="64"/>
      <c r="P47" s="64"/>
      <c r="Q47" s="64"/>
      <c r="R47" s="63">
        <f t="shared" si="3"/>
        <v>0</v>
      </c>
      <c r="S47" s="9" t="str">
        <f>IFERROR(INDEX(#REF!,MATCH(MIN(G47:K47),G47:K47,0)),"-")</f>
        <v>-</v>
      </c>
    </row>
    <row r="48" spans="1:19" ht="24" customHeight="1" x14ac:dyDescent="0.25">
      <c r="A48" s="8">
        <v>39</v>
      </c>
      <c r="C48" s="9" t="s">
        <v>75</v>
      </c>
      <c r="D48" s="17" t="s">
        <v>271</v>
      </c>
      <c r="E48" s="10"/>
      <c r="F48" s="10"/>
      <c r="G48" s="62"/>
      <c r="H48" s="62"/>
      <c r="I48" s="62"/>
      <c r="J48" s="62"/>
      <c r="K48" s="62"/>
      <c r="L48" s="63" t="str">
        <f t="shared" si="2"/>
        <v>-</v>
      </c>
      <c r="M48" s="64"/>
      <c r="N48" s="64"/>
      <c r="O48" s="64"/>
      <c r="P48" s="64"/>
      <c r="Q48" s="64"/>
      <c r="R48" s="63">
        <f t="shared" si="3"/>
        <v>0</v>
      </c>
      <c r="S48" s="9" t="str">
        <f>IFERROR(INDEX(#REF!,MATCH(MIN(G48:K48),G48:K48,0)),"-")</f>
        <v>-</v>
      </c>
    </row>
    <row r="49" spans="1:19" ht="24" customHeight="1" x14ac:dyDescent="0.25">
      <c r="A49" s="8">
        <v>40</v>
      </c>
      <c r="C49" s="9" t="s">
        <v>76</v>
      </c>
      <c r="D49" s="17" t="s">
        <v>272</v>
      </c>
      <c r="E49" s="10"/>
      <c r="F49" s="10"/>
      <c r="G49" s="62"/>
      <c r="H49" s="62"/>
      <c r="I49" s="62"/>
      <c r="J49" s="62"/>
      <c r="K49" s="62"/>
      <c r="L49" s="63" t="str">
        <f t="shared" si="2"/>
        <v>-</v>
      </c>
      <c r="M49" s="64"/>
      <c r="N49" s="64"/>
      <c r="O49" s="64"/>
      <c r="P49" s="64"/>
      <c r="Q49" s="64"/>
      <c r="R49" s="63">
        <f t="shared" si="3"/>
        <v>0</v>
      </c>
      <c r="S49" s="9" t="str">
        <f>IFERROR(INDEX(#REF!,MATCH(MIN(G49:K49),G49:K49,0)),"-")</f>
        <v>-</v>
      </c>
    </row>
    <row r="50" spans="1:19" ht="24" customHeight="1" x14ac:dyDescent="0.25">
      <c r="A50" s="8">
        <v>41</v>
      </c>
      <c r="C50" s="9" t="s">
        <v>77</v>
      </c>
      <c r="D50" s="17" t="s">
        <v>273</v>
      </c>
      <c r="E50" s="10"/>
      <c r="F50" s="10"/>
      <c r="G50" s="62"/>
      <c r="H50" s="62"/>
      <c r="I50" s="62"/>
      <c r="J50" s="62"/>
      <c r="K50" s="62"/>
      <c r="L50" s="63" t="str">
        <f t="shared" si="2"/>
        <v>-</v>
      </c>
      <c r="M50" s="64"/>
      <c r="N50" s="64"/>
      <c r="O50" s="64"/>
      <c r="P50" s="64"/>
      <c r="Q50" s="64"/>
      <c r="R50" s="63">
        <f t="shared" si="3"/>
        <v>0</v>
      </c>
      <c r="S50" s="9" t="str">
        <f>IFERROR(INDEX(#REF!,MATCH(MIN(G50:K50),G50:K50,0)),"-")</f>
        <v>-</v>
      </c>
    </row>
    <row r="51" spans="1:19" ht="24" customHeight="1" x14ac:dyDescent="0.25">
      <c r="A51" s="8">
        <v>42</v>
      </c>
      <c r="C51" s="9" t="s">
        <v>78</v>
      </c>
      <c r="D51" s="17" t="s">
        <v>274</v>
      </c>
      <c r="E51" s="10"/>
      <c r="F51" s="10"/>
      <c r="G51" s="62"/>
      <c r="H51" s="62"/>
      <c r="I51" s="62"/>
      <c r="J51" s="62"/>
      <c r="K51" s="62"/>
      <c r="L51" s="63" t="str">
        <f t="shared" si="2"/>
        <v>-</v>
      </c>
      <c r="M51" s="64"/>
      <c r="N51" s="64"/>
      <c r="O51" s="64"/>
      <c r="P51" s="64"/>
      <c r="Q51" s="64"/>
      <c r="R51" s="63">
        <f t="shared" si="3"/>
        <v>0</v>
      </c>
      <c r="S51" s="9" t="str">
        <f>IFERROR(INDEX(#REF!,MATCH(MIN(G51:K51),G51:K51,0)),"-")</f>
        <v>-</v>
      </c>
    </row>
    <row r="52" spans="1:19" ht="24" customHeight="1" x14ac:dyDescent="0.25">
      <c r="A52" s="8">
        <v>43</v>
      </c>
      <c r="C52" s="9" t="s">
        <v>79</v>
      </c>
      <c r="D52" s="17" t="s">
        <v>275</v>
      </c>
      <c r="E52" s="10"/>
      <c r="F52" s="10"/>
      <c r="G52" s="62"/>
      <c r="H52" s="62"/>
      <c r="I52" s="62"/>
      <c r="J52" s="62"/>
      <c r="K52" s="62"/>
      <c r="L52" s="63" t="str">
        <f t="shared" si="2"/>
        <v>-</v>
      </c>
      <c r="M52" s="64"/>
      <c r="N52" s="64"/>
      <c r="O52" s="64"/>
      <c r="P52" s="64"/>
      <c r="Q52" s="64"/>
      <c r="R52" s="63">
        <f t="shared" si="3"/>
        <v>0</v>
      </c>
      <c r="S52" s="9" t="str">
        <f>IFERROR(INDEX(#REF!,MATCH(MIN(G52:K52),G52:K52,0)),"-")</f>
        <v>-</v>
      </c>
    </row>
    <row r="53" spans="1:19" ht="24" customHeight="1" x14ac:dyDescent="0.25">
      <c r="A53" s="8">
        <v>44</v>
      </c>
      <c r="C53" s="9" t="s">
        <v>80</v>
      </c>
      <c r="D53" s="17" t="s">
        <v>276</v>
      </c>
      <c r="E53" s="10"/>
      <c r="F53" s="10"/>
      <c r="G53" s="62"/>
      <c r="H53" s="62"/>
      <c r="I53" s="62"/>
      <c r="J53" s="62"/>
      <c r="K53" s="62"/>
      <c r="L53" s="63" t="str">
        <f t="shared" si="2"/>
        <v>-</v>
      </c>
      <c r="M53" s="64"/>
      <c r="N53" s="64"/>
      <c r="O53" s="64"/>
      <c r="P53" s="64"/>
      <c r="Q53" s="64"/>
      <c r="R53" s="63">
        <f t="shared" si="3"/>
        <v>0</v>
      </c>
      <c r="S53" s="9" t="str">
        <f>IFERROR(INDEX(#REF!,MATCH(MIN(G53:K53),G53:K53,0)),"-")</f>
        <v>-</v>
      </c>
    </row>
    <row r="54" spans="1:19" ht="24" customHeight="1" x14ac:dyDescent="0.25">
      <c r="A54" s="8">
        <v>45</v>
      </c>
      <c r="C54" s="9" t="s">
        <v>81</v>
      </c>
      <c r="D54" s="17" t="s">
        <v>277</v>
      </c>
      <c r="E54" s="10"/>
      <c r="F54" s="10"/>
      <c r="G54" s="62"/>
      <c r="H54" s="62"/>
      <c r="I54" s="62"/>
      <c r="J54" s="62"/>
      <c r="K54" s="62"/>
      <c r="L54" s="63" t="str">
        <f t="shared" si="2"/>
        <v>-</v>
      </c>
      <c r="M54" s="64"/>
      <c r="N54" s="64"/>
      <c r="O54" s="64"/>
      <c r="P54" s="64"/>
      <c r="Q54" s="64"/>
      <c r="R54" s="63">
        <f t="shared" si="3"/>
        <v>0</v>
      </c>
      <c r="S54" s="9" t="str">
        <f>IFERROR(INDEX(#REF!,MATCH(MIN(G54:K54),G54:K54,0)),"-")</f>
        <v>-</v>
      </c>
    </row>
    <row r="55" spans="1:19" ht="24" customHeight="1" x14ac:dyDescent="0.25">
      <c r="A55" s="8">
        <v>46</v>
      </c>
      <c r="C55" s="9" t="s">
        <v>82</v>
      </c>
      <c r="D55" s="17" t="s">
        <v>278</v>
      </c>
      <c r="E55" s="10"/>
      <c r="F55" s="10"/>
      <c r="G55" s="62"/>
      <c r="H55" s="62"/>
      <c r="I55" s="62"/>
      <c r="J55" s="62"/>
      <c r="K55" s="62"/>
      <c r="L55" s="63" t="str">
        <f t="shared" si="2"/>
        <v>-</v>
      </c>
      <c r="M55" s="64"/>
      <c r="N55" s="64"/>
      <c r="O55" s="64"/>
      <c r="P55" s="64"/>
      <c r="Q55" s="64"/>
      <c r="R55" s="63">
        <f t="shared" si="3"/>
        <v>0</v>
      </c>
      <c r="S55" s="9" t="str">
        <f>IFERROR(INDEX(#REF!,MATCH(MIN(G55:K55),G55:K55,0)),"-")</f>
        <v>-</v>
      </c>
    </row>
    <row r="56" spans="1:19" ht="24" customHeight="1" x14ac:dyDescent="0.25">
      <c r="A56" s="8">
        <v>47</v>
      </c>
      <c r="C56" s="9" t="s">
        <v>83</v>
      </c>
      <c r="D56" s="17" t="s">
        <v>279</v>
      </c>
      <c r="E56" s="10"/>
      <c r="F56" s="10"/>
      <c r="G56" s="62"/>
      <c r="H56" s="62"/>
      <c r="I56" s="62"/>
      <c r="J56" s="62"/>
      <c r="K56" s="62"/>
      <c r="L56" s="63" t="str">
        <f t="shared" si="2"/>
        <v>-</v>
      </c>
      <c r="M56" s="64"/>
      <c r="N56" s="64"/>
      <c r="O56" s="64"/>
      <c r="P56" s="64"/>
      <c r="Q56" s="64"/>
      <c r="R56" s="63">
        <f t="shared" si="3"/>
        <v>0</v>
      </c>
      <c r="S56" s="9" t="str">
        <f>IFERROR(INDEX(#REF!,MATCH(MIN(G56:K56),G56:K56,0)),"-")</f>
        <v>-</v>
      </c>
    </row>
    <row r="57" spans="1:19" ht="24" customHeight="1" x14ac:dyDescent="0.25">
      <c r="A57" s="8">
        <v>48</v>
      </c>
      <c r="C57" s="9" t="s">
        <v>84</v>
      </c>
      <c r="D57" s="17" t="s">
        <v>280</v>
      </c>
      <c r="E57" s="10"/>
      <c r="F57" s="10"/>
      <c r="G57" s="62"/>
      <c r="H57" s="62"/>
      <c r="I57" s="62"/>
      <c r="J57" s="62"/>
      <c r="K57" s="62"/>
      <c r="L57" s="63" t="str">
        <f t="shared" si="2"/>
        <v>-</v>
      </c>
      <c r="M57" s="64"/>
      <c r="N57" s="64"/>
      <c r="O57" s="64"/>
      <c r="P57" s="64"/>
      <c r="Q57" s="64"/>
      <c r="R57" s="63">
        <f t="shared" si="3"/>
        <v>0</v>
      </c>
      <c r="S57" s="9" t="str">
        <f>IFERROR(INDEX(#REF!,MATCH(MIN(G57:K57),G57:K57,0)),"-")</f>
        <v>-</v>
      </c>
    </row>
    <row r="58" spans="1:19" ht="24" customHeight="1" x14ac:dyDescent="0.25">
      <c r="A58" s="8">
        <v>49</v>
      </c>
      <c r="C58" s="9" t="s">
        <v>85</v>
      </c>
      <c r="D58" s="17" t="s">
        <v>281</v>
      </c>
      <c r="E58" s="10"/>
      <c r="F58" s="10"/>
      <c r="G58" s="62"/>
      <c r="H58" s="62"/>
      <c r="I58" s="62"/>
      <c r="J58" s="62"/>
      <c r="K58" s="62"/>
      <c r="L58" s="63" t="str">
        <f t="shared" si="2"/>
        <v>-</v>
      </c>
      <c r="M58" s="64"/>
      <c r="N58" s="64"/>
      <c r="O58" s="64"/>
      <c r="P58" s="64"/>
      <c r="Q58" s="64"/>
      <c r="R58" s="63">
        <f t="shared" si="3"/>
        <v>0</v>
      </c>
      <c r="S58" s="9" t="str">
        <f>IFERROR(INDEX(#REF!,MATCH(MIN(G58:K58),G58:K58,0)),"-")</f>
        <v>-</v>
      </c>
    </row>
    <row r="59" spans="1:19" ht="24" customHeight="1" x14ac:dyDescent="0.25">
      <c r="A59" s="8">
        <v>50</v>
      </c>
      <c r="C59" s="9" t="s">
        <v>86</v>
      </c>
      <c r="D59" s="17" t="s">
        <v>282</v>
      </c>
      <c r="E59" s="10"/>
      <c r="F59" s="10"/>
      <c r="G59" s="62"/>
      <c r="H59" s="62"/>
      <c r="I59" s="62"/>
      <c r="J59" s="62"/>
      <c r="K59" s="62"/>
      <c r="L59" s="63" t="str">
        <f t="shared" si="2"/>
        <v>-</v>
      </c>
      <c r="M59" s="64"/>
      <c r="N59" s="64"/>
      <c r="O59" s="64"/>
      <c r="P59" s="64"/>
      <c r="Q59" s="64"/>
      <c r="R59" s="63">
        <f t="shared" si="3"/>
        <v>0</v>
      </c>
      <c r="S59" s="9" t="str">
        <f>IFERROR(INDEX(#REF!,MATCH(MIN(G59:K59),G59:K59,0)),"-")</f>
        <v>-</v>
      </c>
    </row>
    <row r="60" spans="1:19" ht="24" customHeight="1" x14ac:dyDescent="0.25">
      <c r="A60" s="8">
        <v>51</v>
      </c>
      <c r="C60" s="9" t="s">
        <v>87</v>
      </c>
      <c r="D60" s="17" t="s">
        <v>283</v>
      </c>
      <c r="E60" s="10"/>
      <c r="F60" s="10"/>
      <c r="G60" s="62"/>
      <c r="H60" s="62"/>
      <c r="I60" s="62"/>
      <c r="J60" s="62"/>
      <c r="K60" s="62"/>
      <c r="L60" s="63" t="str">
        <f t="shared" si="2"/>
        <v>-</v>
      </c>
      <c r="M60" s="64"/>
      <c r="N60" s="64"/>
      <c r="O60" s="64"/>
      <c r="P60" s="64"/>
      <c r="Q60" s="64"/>
      <c r="R60" s="63">
        <f t="shared" si="3"/>
        <v>0</v>
      </c>
      <c r="S60" s="9" t="str">
        <f>IFERROR(INDEX(#REF!,MATCH(MIN(G60:K60),G60:K60,0)),"-")</f>
        <v>-</v>
      </c>
    </row>
    <row r="61" spans="1:19" ht="24" customHeight="1" x14ac:dyDescent="0.25">
      <c r="A61" s="8">
        <v>52</v>
      </c>
      <c r="C61" s="9" t="s">
        <v>88</v>
      </c>
      <c r="D61" s="17" t="s">
        <v>284</v>
      </c>
      <c r="E61" s="10"/>
      <c r="F61" s="10"/>
      <c r="G61" s="62"/>
      <c r="H61" s="62"/>
      <c r="I61" s="62"/>
      <c r="J61" s="62"/>
      <c r="K61" s="62"/>
      <c r="L61" s="63" t="str">
        <f t="shared" si="2"/>
        <v>-</v>
      </c>
      <c r="M61" s="64"/>
      <c r="N61" s="64"/>
      <c r="O61" s="64"/>
      <c r="P61" s="64"/>
      <c r="Q61" s="64"/>
      <c r="R61" s="63">
        <f t="shared" si="3"/>
        <v>0</v>
      </c>
      <c r="S61" s="9" t="str">
        <f>IFERROR(INDEX(#REF!,MATCH(MIN(G61:K61),G61:K61,0)),"-")</f>
        <v>-</v>
      </c>
    </row>
    <row r="62" spans="1:19" ht="24" customHeight="1" x14ac:dyDescent="0.25">
      <c r="A62" s="8">
        <v>53</v>
      </c>
      <c r="C62" s="9" t="s">
        <v>89</v>
      </c>
      <c r="D62" s="17" t="s">
        <v>285</v>
      </c>
      <c r="E62" s="10"/>
      <c r="F62" s="10"/>
      <c r="G62" s="62"/>
      <c r="H62" s="62"/>
      <c r="I62" s="62"/>
      <c r="J62" s="62"/>
      <c r="K62" s="62"/>
      <c r="L62" s="63" t="str">
        <f t="shared" si="2"/>
        <v>-</v>
      </c>
      <c r="M62" s="64"/>
      <c r="N62" s="64"/>
      <c r="O62" s="64"/>
      <c r="P62" s="64"/>
      <c r="Q62" s="64"/>
      <c r="R62" s="63">
        <f t="shared" si="3"/>
        <v>0</v>
      </c>
      <c r="S62" s="9" t="str">
        <f>IFERROR(INDEX(#REF!,MATCH(MIN(G62:K62),G62:K62,0)),"-")</f>
        <v>-</v>
      </c>
    </row>
    <row r="63" spans="1:19" ht="24" customHeight="1" x14ac:dyDescent="0.25">
      <c r="A63" s="8">
        <v>54</v>
      </c>
      <c r="C63" s="9" t="s">
        <v>90</v>
      </c>
      <c r="D63" s="17" t="s">
        <v>286</v>
      </c>
      <c r="E63" s="10"/>
      <c r="F63" s="10"/>
      <c r="G63" s="62"/>
      <c r="H63" s="62"/>
      <c r="I63" s="62"/>
      <c r="J63" s="62"/>
      <c r="K63" s="62"/>
      <c r="L63" s="63" t="str">
        <f t="shared" si="2"/>
        <v>-</v>
      </c>
      <c r="M63" s="64"/>
      <c r="N63" s="64"/>
      <c r="O63" s="64"/>
      <c r="P63" s="64"/>
      <c r="Q63" s="64"/>
      <c r="R63" s="63">
        <f t="shared" si="3"/>
        <v>0</v>
      </c>
      <c r="S63" s="9" t="str">
        <f>IFERROR(INDEX(#REF!,MATCH(MIN(G63:K63),G63:K63,0)),"-")</f>
        <v>-</v>
      </c>
    </row>
    <row r="64" spans="1:19" ht="24" customHeight="1" x14ac:dyDescent="0.25">
      <c r="A64" s="8">
        <v>55</v>
      </c>
      <c r="C64" s="9" t="s">
        <v>91</v>
      </c>
      <c r="D64" s="17" t="s">
        <v>287</v>
      </c>
      <c r="E64" s="10"/>
      <c r="F64" s="10"/>
      <c r="G64" s="62"/>
      <c r="H64" s="62"/>
      <c r="I64" s="62"/>
      <c r="J64" s="62"/>
      <c r="K64" s="62"/>
      <c r="L64" s="63" t="str">
        <f t="shared" si="2"/>
        <v>-</v>
      </c>
      <c r="M64" s="64"/>
      <c r="N64" s="64"/>
      <c r="O64" s="64"/>
      <c r="P64" s="64"/>
      <c r="Q64" s="64"/>
      <c r="R64" s="63">
        <f t="shared" si="3"/>
        <v>0</v>
      </c>
      <c r="S64" s="9" t="str">
        <f>IFERROR(INDEX(#REF!,MATCH(MIN(G64:K64),G64:K64,0)),"-")</f>
        <v>-</v>
      </c>
    </row>
    <row r="65" spans="1:19" ht="24" customHeight="1" x14ac:dyDescent="0.25">
      <c r="A65" s="8">
        <v>56</v>
      </c>
      <c r="C65" s="9" t="s">
        <v>92</v>
      </c>
      <c r="D65" s="17" t="s">
        <v>288</v>
      </c>
      <c r="E65" s="10"/>
      <c r="F65" s="10"/>
      <c r="G65" s="62"/>
      <c r="H65" s="62"/>
      <c r="I65" s="62"/>
      <c r="J65" s="62"/>
      <c r="K65" s="62"/>
      <c r="L65" s="63" t="str">
        <f t="shared" si="2"/>
        <v>-</v>
      </c>
      <c r="M65" s="64"/>
      <c r="N65" s="64"/>
      <c r="O65" s="64"/>
      <c r="P65" s="64"/>
      <c r="Q65" s="64"/>
      <c r="R65" s="63">
        <f t="shared" si="3"/>
        <v>0</v>
      </c>
      <c r="S65" s="9" t="str">
        <f>IFERROR(INDEX(#REF!,MATCH(MIN(G65:K65),G65:K65,0)),"-")</f>
        <v>-</v>
      </c>
    </row>
    <row r="66" spans="1:19" ht="24" customHeight="1" x14ac:dyDescent="0.25">
      <c r="A66" s="8">
        <v>57</v>
      </c>
      <c r="C66" s="9" t="s">
        <v>93</v>
      </c>
      <c r="D66" s="17" t="s">
        <v>289</v>
      </c>
      <c r="E66" s="10"/>
      <c r="F66" s="10"/>
      <c r="G66" s="62"/>
      <c r="H66" s="62"/>
      <c r="I66" s="62"/>
      <c r="J66" s="62"/>
      <c r="K66" s="62"/>
      <c r="L66" s="63" t="str">
        <f t="shared" si="2"/>
        <v>-</v>
      </c>
      <c r="M66" s="64"/>
      <c r="N66" s="64"/>
      <c r="O66" s="64"/>
      <c r="P66" s="64"/>
      <c r="Q66" s="64"/>
      <c r="R66" s="63">
        <f t="shared" si="3"/>
        <v>0</v>
      </c>
      <c r="S66" s="9" t="str">
        <f>IFERROR(INDEX(#REF!,MATCH(MIN(G66:K66),G66:K66,0)),"-")</f>
        <v>-</v>
      </c>
    </row>
    <row r="67" spans="1:19" ht="24" customHeight="1" x14ac:dyDescent="0.25">
      <c r="A67" s="8">
        <v>58</v>
      </c>
      <c r="C67" s="9" t="s">
        <v>94</v>
      </c>
      <c r="D67" s="17" t="s">
        <v>290</v>
      </c>
      <c r="E67" s="10"/>
      <c r="F67" s="10"/>
      <c r="G67" s="62"/>
      <c r="H67" s="62"/>
      <c r="I67" s="62"/>
      <c r="J67" s="62"/>
      <c r="K67" s="62"/>
      <c r="L67" s="63" t="str">
        <f t="shared" si="2"/>
        <v>-</v>
      </c>
      <c r="M67" s="64"/>
      <c r="N67" s="64"/>
      <c r="O67" s="64"/>
      <c r="P67" s="64"/>
      <c r="Q67" s="64"/>
      <c r="R67" s="63">
        <f t="shared" si="3"/>
        <v>0</v>
      </c>
      <c r="S67" s="9" t="str">
        <f>IFERROR(INDEX(#REF!,MATCH(MIN(G67:K67),G67:K67,0)),"-")</f>
        <v>-</v>
      </c>
    </row>
    <row r="68" spans="1:19" ht="24" customHeight="1" x14ac:dyDescent="0.25">
      <c r="A68" s="8">
        <v>59</v>
      </c>
      <c r="C68" s="9" t="s">
        <v>95</v>
      </c>
      <c r="D68" s="17" t="s">
        <v>291</v>
      </c>
      <c r="E68" s="10"/>
      <c r="F68" s="10"/>
      <c r="G68" s="62"/>
      <c r="H68" s="62"/>
      <c r="I68" s="62"/>
      <c r="J68" s="62"/>
      <c r="K68" s="62"/>
      <c r="L68" s="63" t="str">
        <f t="shared" si="2"/>
        <v>-</v>
      </c>
      <c r="M68" s="64"/>
      <c r="N68" s="64"/>
      <c r="O68" s="64"/>
      <c r="P68" s="64"/>
      <c r="Q68" s="64"/>
      <c r="R68" s="63">
        <f t="shared" si="3"/>
        <v>0</v>
      </c>
      <c r="S68" s="9" t="str">
        <f>IFERROR(INDEX(#REF!,MATCH(MIN(G68:K68),G68:K68,0)),"-")</f>
        <v>-</v>
      </c>
    </row>
    <row r="69" spans="1:19" ht="24" customHeight="1" x14ac:dyDescent="0.25">
      <c r="A69" s="8">
        <v>60</v>
      </c>
      <c r="C69" s="9" t="s">
        <v>96</v>
      </c>
      <c r="D69" s="17" t="s">
        <v>292</v>
      </c>
      <c r="E69" s="10"/>
      <c r="F69" s="10"/>
      <c r="G69" s="62"/>
      <c r="H69" s="62"/>
      <c r="I69" s="62"/>
      <c r="J69" s="62"/>
      <c r="K69" s="62"/>
      <c r="L69" s="63" t="str">
        <f t="shared" si="2"/>
        <v>-</v>
      </c>
      <c r="M69" s="64"/>
      <c r="N69" s="64"/>
      <c r="O69" s="64"/>
      <c r="P69" s="64"/>
      <c r="Q69" s="64"/>
      <c r="R69" s="63">
        <f t="shared" si="3"/>
        <v>0</v>
      </c>
      <c r="S69" s="9" t="str">
        <f>IFERROR(INDEX(#REF!,MATCH(MIN(G69:K69),G69:K69,0)),"-")</f>
        <v>-</v>
      </c>
    </row>
    <row r="70" spans="1:19" ht="24" customHeight="1" x14ac:dyDescent="0.25">
      <c r="A70" s="8">
        <v>61</v>
      </c>
      <c r="C70" s="9" t="s">
        <v>97</v>
      </c>
      <c r="D70" s="17" t="s">
        <v>293</v>
      </c>
      <c r="E70" s="10"/>
      <c r="F70" s="10"/>
      <c r="G70" s="62"/>
      <c r="H70" s="62"/>
      <c r="I70" s="62"/>
      <c r="J70" s="62"/>
      <c r="K70" s="62"/>
      <c r="L70" s="63" t="str">
        <f t="shared" si="2"/>
        <v>-</v>
      </c>
      <c r="M70" s="64"/>
      <c r="N70" s="64"/>
      <c r="O70" s="64"/>
      <c r="P70" s="64"/>
      <c r="Q70" s="64"/>
      <c r="R70" s="63">
        <f t="shared" si="3"/>
        <v>0</v>
      </c>
      <c r="S70" s="9" t="str">
        <f>IFERROR(INDEX(#REF!,MATCH(MIN(G70:K70),G70:K70,0)),"-")</f>
        <v>-</v>
      </c>
    </row>
    <row r="71" spans="1:19" ht="24" customHeight="1" x14ac:dyDescent="0.25">
      <c r="A71" s="8">
        <v>62</v>
      </c>
      <c r="C71" s="9" t="s">
        <v>98</v>
      </c>
      <c r="D71" s="17" t="s">
        <v>294</v>
      </c>
      <c r="E71" s="10"/>
      <c r="F71" s="10"/>
      <c r="G71" s="62"/>
      <c r="H71" s="62"/>
      <c r="I71" s="62"/>
      <c r="J71" s="62"/>
      <c r="K71" s="62"/>
      <c r="L71" s="63" t="str">
        <f t="shared" si="2"/>
        <v>-</v>
      </c>
      <c r="M71" s="64"/>
      <c r="N71" s="64"/>
      <c r="O71" s="64"/>
      <c r="P71" s="64"/>
      <c r="Q71" s="64"/>
      <c r="R71" s="63">
        <f t="shared" si="3"/>
        <v>0</v>
      </c>
      <c r="S71" s="9" t="str">
        <f>IFERROR(INDEX(#REF!,MATCH(MIN(G71:K71),G71:K71,0)),"-")</f>
        <v>-</v>
      </c>
    </row>
    <row r="72" spans="1:19" ht="24" customHeight="1" x14ac:dyDescent="0.25">
      <c r="A72" s="8">
        <v>63</v>
      </c>
      <c r="C72" s="9" t="s">
        <v>99</v>
      </c>
      <c r="D72" s="17" t="s">
        <v>295</v>
      </c>
      <c r="E72" s="10"/>
      <c r="F72" s="10"/>
      <c r="G72" s="62"/>
      <c r="H72" s="62"/>
      <c r="I72" s="62"/>
      <c r="J72" s="62"/>
      <c r="K72" s="62"/>
      <c r="L72" s="63" t="str">
        <f t="shared" ref="L72" si="4">IFERROR(AVERAGEIF(G72:K72,"&gt;0"),"-")</f>
        <v>-</v>
      </c>
      <c r="M72" s="64"/>
      <c r="N72" s="64"/>
      <c r="O72" s="64"/>
      <c r="P72" s="64"/>
      <c r="Q72" s="64"/>
      <c r="R72" s="63">
        <f t="shared" ref="R72" si="5">IFERROR(MIN(G72:K72),"-")</f>
        <v>0</v>
      </c>
      <c r="S72" s="9" t="str">
        <f>IFERROR(INDEX(#REF!,MATCH(MIN(G72:K72),G72:K72,0)),"-")</f>
        <v>-</v>
      </c>
    </row>
    <row r="73" spans="1:19" ht="24" customHeight="1" x14ac:dyDescent="0.25">
      <c r="A73" s="8">
        <v>64</v>
      </c>
      <c r="C73" s="9" t="s">
        <v>100</v>
      </c>
      <c r="D73" s="17" t="s">
        <v>296</v>
      </c>
      <c r="E73" s="10"/>
      <c r="F73" s="10"/>
      <c r="G73" s="62"/>
      <c r="H73" s="62"/>
      <c r="I73" s="62"/>
      <c r="J73" s="62"/>
      <c r="K73" s="62"/>
      <c r="L73" s="63" t="str">
        <f t="shared" si="2"/>
        <v>-</v>
      </c>
      <c r="M73" s="64"/>
      <c r="N73" s="64"/>
      <c r="O73" s="64"/>
      <c r="P73" s="64"/>
      <c r="Q73" s="64"/>
      <c r="R73" s="63">
        <f t="shared" si="3"/>
        <v>0</v>
      </c>
      <c r="S73" s="9" t="str">
        <f>IFERROR(INDEX(#REF!,MATCH(MIN(G73:K73),G73:K73,0)),"-")</f>
        <v>-</v>
      </c>
    </row>
    <row r="74" spans="1:19" ht="24" customHeight="1" x14ac:dyDescent="0.25">
      <c r="A74" s="8">
        <v>65</v>
      </c>
      <c r="C74" s="9" t="s">
        <v>101</v>
      </c>
      <c r="D74" s="17" t="s">
        <v>297</v>
      </c>
      <c r="E74" s="10"/>
      <c r="F74" s="10"/>
      <c r="G74" s="62"/>
      <c r="H74" s="62"/>
      <c r="I74" s="62"/>
      <c r="J74" s="62"/>
      <c r="K74" s="62"/>
      <c r="L74" s="63" t="str">
        <f t="shared" ref="L74" si="6">IFERROR(AVERAGEIF(G74:K74,"&gt;0"),"-")</f>
        <v>-</v>
      </c>
      <c r="M74" s="64"/>
      <c r="N74" s="64"/>
      <c r="O74" s="64"/>
      <c r="P74" s="64"/>
      <c r="Q74" s="64"/>
      <c r="R74" s="63">
        <f t="shared" ref="R74" si="7">IFERROR(MIN(G74:K74),"-")</f>
        <v>0</v>
      </c>
      <c r="S74" s="9" t="str">
        <f>IFERROR(INDEX(#REF!,MATCH(MIN(G74:K74),G74:K74,0)),"-")</f>
        <v>-</v>
      </c>
    </row>
    <row r="75" spans="1:19" ht="24" customHeight="1" x14ac:dyDescent="0.25">
      <c r="A75" s="8">
        <v>66</v>
      </c>
      <c r="C75" s="9" t="s">
        <v>102</v>
      </c>
      <c r="D75" s="17" t="s">
        <v>298</v>
      </c>
      <c r="E75" s="10"/>
      <c r="F75" s="10"/>
      <c r="G75" s="62"/>
      <c r="H75" s="62"/>
      <c r="I75" s="62"/>
      <c r="J75" s="62"/>
      <c r="K75" s="62"/>
      <c r="L75" s="63" t="str">
        <f t="shared" si="2"/>
        <v>-</v>
      </c>
      <c r="M75" s="64"/>
      <c r="N75" s="64"/>
      <c r="O75" s="64"/>
      <c r="P75" s="64"/>
      <c r="Q75" s="64"/>
      <c r="R75" s="63">
        <f t="shared" si="3"/>
        <v>0</v>
      </c>
      <c r="S75" s="9" t="str">
        <f>IFERROR(INDEX(#REF!,MATCH(MIN(G75:K75),G75:K75,0)),"-")</f>
        <v>-</v>
      </c>
    </row>
    <row r="76" spans="1:19" ht="24" customHeight="1" x14ac:dyDescent="0.25">
      <c r="A76" s="8">
        <v>67</v>
      </c>
      <c r="C76" s="9" t="s">
        <v>103</v>
      </c>
      <c r="D76" s="17" t="s">
        <v>299</v>
      </c>
      <c r="E76" s="10"/>
      <c r="F76" s="10"/>
      <c r="G76" s="62"/>
      <c r="H76" s="62"/>
      <c r="I76" s="62"/>
      <c r="J76" s="62"/>
      <c r="K76" s="62"/>
      <c r="L76" s="63" t="str">
        <f t="shared" ref="L76" si="8">IFERROR(AVERAGEIF(G76:K76,"&gt;0"),"-")</f>
        <v>-</v>
      </c>
      <c r="M76" s="64"/>
      <c r="N76" s="64"/>
      <c r="O76" s="64"/>
      <c r="P76" s="64"/>
      <c r="Q76" s="64"/>
      <c r="R76" s="63">
        <f t="shared" ref="R76" si="9">IFERROR(MIN(G76:K76),"-")</f>
        <v>0</v>
      </c>
      <c r="S76" s="9" t="str">
        <f>IFERROR(INDEX(#REF!,MATCH(MIN(G76:K76),G76:K76,0)),"-")</f>
        <v>-</v>
      </c>
    </row>
    <row r="77" spans="1:19" ht="24" customHeight="1" x14ac:dyDescent="0.25">
      <c r="A77" s="8">
        <v>68</v>
      </c>
      <c r="C77" s="9" t="s">
        <v>104</v>
      </c>
      <c r="D77" s="17" t="s">
        <v>300</v>
      </c>
      <c r="E77" s="10"/>
      <c r="F77" s="10"/>
      <c r="G77" s="62"/>
      <c r="H77" s="62"/>
      <c r="I77" s="62"/>
      <c r="J77" s="62"/>
      <c r="K77" s="62"/>
      <c r="L77" s="63" t="str">
        <f t="shared" si="2"/>
        <v>-</v>
      </c>
      <c r="M77" s="64"/>
      <c r="N77" s="64"/>
      <c r="O77" s="64"/>
      <c r="P77" s="64"/>
      <c r="Q77" s="64"/>
      <c r="R77" s="63">
        <f t="shared" si="3"/>
        <v>0</v>
      </c>
      <c r="S77" s="9" t="str">
        <f>IFERROR(INDEX(#REF!,MATCH(MIN(G77:K77),G77:K77,0)),"-")</f>
        <v>-</v>
      </c>
    </row>
    <row r="78" spans="1:19" ht="24" customHeight="1" x14ac:dyDescent="0.25">
      <c r="A78" s="8">
        <v>69</v>
      </c>
      <c r="C78" s="9" t="s">
        <v>105</v>
      </c>
      <c r="D78" s="17" t="s">
        <v>301</v>
      </c>
      <c r="E78" s="10"/>
      <c r="F78" s="10"/>
      <c r="G78" s="62"/>
      <c r="H78" s="62"/>
      <c r="I78" s="62"/>
      <c r="J78" s="62"/>
      <c r="K78" s="62"/>
      <c r="L78" s="63" t="str">
        <f t="shared" si="2"/>
        <v>-</v>
      </c>
      <c r="M78" s="64"/>
      <c r="N78" s="64"/>
      <c r="O78" s="64"/>
      <c r="P78" s="64"/>
      <c r="Q78" s="64"/>
      <c r="R78" s="63">
        <f t="shared" si="3"/>
        <v>0</v>
      </c>
      <c r="S78" s="9" t="str">
        <f>IFERROR(INDEX(#REF!,MATCH(MIN(G78:K78),G78:K78,0)),"-")</f>
        <v>-</v>
      </c>
    </row>
    <row r="79" spans="1:19" ht="24" customHeight="1" x14ac:dyDescent="0.25">
      <c r="A79" s="8">
        <v>70</v>
      </c>
      <c r="C79" s="9" t="s">
        <v>106</v>
      </c>
      <c r="D79" s="17" t="s">
        <v>302</v>
      </c>
      <c r="E79" s="10"/>
      <c r="F79" s="10"/>
      <c r="G79" s="62"/>
      <c r="H79" s="62"/>
      <c r="I79" s="62"/>
      <c r="J79" s="62"/>
      <c r="K79" s="62"/>
      <c r="L79" s="63" t="str">
        <f t="shared" si="2"/>
        <v>-</v>
      </c>
      <c r="M79" s="64"/>
      <c r="N79" s="64"/>
      <c r="O79" s="64"/>
      <c r="P79" s="64"/>
      <c r="Q79" s="64"/>
      <c r="R79" s="63">
        <f t="shared" si="3"/>
        <v>0</v>
      </c>
      <c r="S79" s="9" t="str">
        <f>IFERROR(INDEX(#REF!,MATCH(MIN(G79:K79),G79:K79,0)),"-")</f>
        <v>-</v>
      </c>
    </row>
    <row r="80" spans="1:19" ht="24" customHeight="1" x14ac:dyDescent="0.25">
      <c r="A80" s="8">
        <v>71</v>
      </c>
      <c r="C80" s="9" t="s">
        <v>107</v>
      </c>
      <c r="D80" s="17" t="s">
        <v>303</v>
      </c>
      <c r="E80" s="10"/>
      <c r="F80" s="10"/>
      <c r="G80" s="62"/>
      <c r="H80" s="62"/>
      <c r="I80" s="62"/>
      <c r="J80" s="62"/>
      <c r="K80" s="62"/>
      <c r="L80" s="63" t="str">
        <f t="shared" si="2"/>
        <v>-</v>
      </c>
      <c r="M80" s="64"/>
      <c r="N80" s="64"/>
      <c r="O80" s="64"/>
      <c r="P80" s="64"/>
      <c r="Q80" s="64"/>
      <c r="R80" s="63">
        <f t="shared" si="3"/>
        <v>0</v>
      </c>
      <c r="S80" s="9" t="str">
        <f>IFERROR(INDEX(#REF!,MATCH(MIN(G80:K80),G80:K80,0)),"-")</f>
        <v>-</v>
      </c>
    </row>
    <row r="81" spans="1:19" ht="24" customHeight="1" x14ac:dyDescent="0.25">
      <c r="A81" s="8">
        <v>72</v>
      </c>
      <c r="C81" s="9" t="s">
        <v>108</v>
      </c>
      <c r="D81" s="17" t="s">
        <v>304</v>
      </c>
      <c r="E81" s="10"/>
      <c r="F81" s="10"/>
      <c r="G81" s="62"/>
      <c r="H81" s="62"/>
      <c r="I81" s="62"/>
      <c r="J81" s="62"/>
      <c r="K81" s="62"/>
      <c r="L81" s="63" t="str">
        <f t="shared" si="2"/>
        <v>-</v>
      </c>
      <c r="M81" s="64"/>
      <c r="N81" s="64"/>
      <c r="O81" s="64"/>
      <c r="P81" s="64"/>
      <c r="Q81" s="64"/>
      <c r="R81" s="63">
        <f t="shared" si="3"/>
        <v>0</v>
      </c>
      <c r="S81" s="9" t="str">
        <f>IFERROR(INDEX(#REF!,MATCH(MIN(G81:K81),G81:K81,0)),"-")</f>
        <v>-</v>
      </c>
    </row>
    <row r="82" spans="1:19" ht="24" customHeight="1" x14ac:dyDescent="0.25">
      <c r="A82" s="8">
        <v>73</v>
      </c>
      <c r="C82" s="9" t="s">
        <v>109</v>
      </c>
      <c r="D82" s="17" t="s">
        <v>305</v>
      </c>
      <c r="E82" s="10"/>
      <c r="F82" s="10"/>
      <c r="G82" s="62"/>
      <c r="H82" s="62"/>
      <c r="I82" s="62"/>
      <c r="J82" s="62"/>
      <c r="K82" s="62"/>
      <c r="L82" s="63" t="str">
        <f t="shared" si="2"/>
        <v>-</v>
      </c>
      <c r="M82" s="64"/>
      <c r="N82" s="64"/>
      <c r="O82" s="64"/>
      <c r="P82" s="64"/>
      <c r="Q82" s="64"/>
      <c r="R82" s="63">
        <f t="shared" si="3"/>
        <v>0</v>
      </c>
      <c r="S82" s="9" t="str">
        <f>IFERROR(INDEX(#REF!,MATCH(MIN(G82:K82),G82:K82,0)),"-")</f>
        <v>-</v>
      </c>
    </row>
    <row r="83" spans="1:19" ht="24" customHeight="1" x14ac:dyDescent="0.25">
      <c r="A83" s="8">
        <v>74</v>
      </c>
      <c r="C83" s="9" t="s">
        <v>110</v>
      </c>
      <c r="D83" s="17" t="s">
        <v>306</v>
      </c>
      <c r="E83" s="10"/>
      <c r="F83" s="10"/>
      <c r="G83" s="62"/>
      <c r="H83" s="62"/>
      <c r="I83" s="62"/>
      <c r="J83" s="62"/>
      <c r="K83" s="62"/>
      <c r="L83" s="63" t="str">
        <f t="shared" si="2"/>
        <v>-</v>
      </c>
      <c r="M83" s="64"/>
      <c r="N83" s="64"/>
      <c r="O83" s="64"/>
      <c r="P83" s="64"/>
      <c r="Q83" s="64"/>
      <c r="R83" s="63">
        <f t="shared" si="3"/>
        <v>0</v>
      </c>
      <c r="S83" s="9" t="str">
        <f>IFERROR(INDEX(#REF!,MATCH(MIN(G83:K83),G83:K83,0)),"-")</f>
        <v>-</v>
      </c>
    </row>
    <row r="84" spans="1:19" ht="24" customHeight="1" x14ac:dyDescent="0.25">
      <c r="A84" s="8">
        <v>75</v>
      </c>
      <c r="C84" s="9" t="s">
        <v>111</v>
      </c>
      <c r="D84" s="17" t="s">
        <v>307</v>
      </c>
      <c r="E84" s="10"/>
      <c r="F84" s="10"/>
      <c r="G84" s="62"/>
      <c r="H84" s="62"/>
      <c r="I84" s="62"/>
      <c r="J84" s="62"/>
      <c r="K84" s="62"/>
      <c r="L84" s="63" t="str">
        <f t="shared" ref="L84" si="10">IFERROR(AVERAGEIF(G84:K84,"&gt;0"),"-")</f>
        <v>-</v>
      </c>
      <c r="M84" s="64"/>
      <c r="N84" s="64"/>
      <c r="O84" s="64"/>
      <c r="P84" s="64"/>
      <c r="Q84" s="64"/>
      <c r="R84" s="63">
        <f t="shared" ref="R84" si="11">IFERROR(MIN(G84:K84),"-")</f>
        <v>0</v>
      </c>
      <c r="S84" s="9" t="str">
        <f>IFERROR(INDEX(#REF!,MATCH(MIN(G84:K84),G84:K84,0)),"-")</f>
        <v>-</v>
      </c>
    </row>
    <row r="85" spans="1:19" ht="24" customHeight="1" x14ac:dyDescent="0.25">
      <c r="A85" s="8">
        <v>76</v>
      </c>
      <c r="C85" s="9" t="s">
        <v>112</v>
      </c>
      <c r="D85" s="17" t="s">
        <v>308</v>
      </c>
      <c r="E85" s="10"/>
      <c r="F85" s="10"/>
      <c r="G85" s="62"/>
      <c r="H85" s="62"/>
      <c r="I85" s="62"/>
      <c r="J85" s="62"/>
      <c r="K85" s="62"/>
      <c r="L85" s="63" t="str">
        <f t="shared" si="2"/>
        <v>-</v>
      </c>
      <c r="M85" s="64"/>
      <c r="N85" s="64"/>
      <c r="O85" s="64"/>
      <c r="P85" s="64"/>
      <c r="Q85" s="64"/>
      <c r="R85" s="63">
        <f t="shared" si="3"/>
        <v>0</v>
      </c>
      <c r="S85" s="9" t="str">
        <f>IFERROR(INDEX(#REF!,MATCH(MIN(G85:K85),G85:K85,0)),"-")</f>
        <v>-</v>
      </c>
    </row>
    <row r="86" spans="1:19" ht="24" customHeight="1" x14ac:dyDescent="0.25">
      <c r="A86" s="8">
        <v>77</v>
      </c>
      <c r="C86" s="9" t="s">
        <v>113</v>
      </c>
      <c r="D86" s="17" t="s">
        <v>309</v>
      </c>
      <c r="E86" s="10"/>
      <c r="F86" s="10"/>
      <c r="G86" s="62"/>
      <c r="H86" s="62"/>
      <c r="I86" s="62"/>
      <c r="J86" s="62"/>
      <c r="K86" s="62"/>
      <c r="L86" s="63" t="str">
        <f t="shared" si="2"/>
        <v>-</v>
      </c>
      <c r="M86" s="64"/>
      <c r="N86" s="64"/>
      <c r="O86" s="64"/>
      <c r="P86" s="64"/>
      <c r="Q86" s="64"/>
      <c r="R86" s="63">
        <f t="shared" si="3"/>
        <v>0</v>
      </c>
      <c r="S86" s="9" t="str">
        <f>IFERROR(INDEX(#REF!,MATCH(MIN(G86:K86),G86:K86,0)),"-")</f>
        <v>-</v>
      </c>
    </row>
    <row r="87" spans="1:19" ht="24" customHeight="1" x14ac:dyDescent="0.25">
      <c r="A87" s="8">
        <v>78</v>
      </c>
      <c r="C87" s="9" t="s">
        <v>114</v>
      </c>
      <c r="D87" s="17" t="s">
        <v>310</v>
      </c>
      <c r="E87" s="10"/>
      <c r="F87" s="10"/>
      <c r="G87" s="62"/>
      <c r="H87" s="62"/>
      <c r="I87" s="62"/>
      <c r="J87" s="62"/>
      <c r="K87" s="62"/>
      <c r="L87" s="63" t="str">
        <f t="shared" ref="L87:L150" si="12">IFERROR(AVERAGEIF(G87:K87,"&gt;0"),"-")</f>
        <v>-</v>
      </c>
      <c r="M87" s="64"/>
      <c r="N87" s="64"/>
      <c r="O87" s="64"/>
      <c r="P87" s="64"/>
      <c r="Q87" s="64"/>
      <c r="R87" s="63">
        <f t="shared" ref="R87:R150" si="13">IFERROR(MIN(G87:K87),"-")</f>
        <v>0</v>
      </c>
      <c r="S87" s="9" t="str">
        <f>IFERROR(INDEX(#REF!,MATCH(MIN(G87:K87),G87:K87,0)),"-")</f>
        <v>-</v>
      </c>
    </row>
    <row r="88" spans="1:19" ht="24" customHeight="1" x14ac:dyDescent="0.25">
      <c r="A88" s="8">
        <v>79</v>
      </c>
      <c r="C88" s="9" t="s">
        <v>115</v>
      </c>
      <c r="D88" s="17" t="s">
        <v>311</v>
      </c>
      <c r="E88" s="10"/>
      <c r="F88" s="10"/>
      <c r="G88" s="62"/>
      <c r="H88" s="62"/>
      <c r="I88" s="62"/>
      <c r="J88" s="62"/>
      <c r="K88" s="62"/>
      <c r="L88" s="63" t="str">
        <f t="shared" si="12"/>
        <v>-</v>
      </c>
      <c r="M88" s="64"/>
      <c r="N88" s="64"/>
      <c r="O88" s="64"/>
      <c r="P88" s="64"/>
      <c r="Q88" s="64"/>
      <c r="R88" s="63">
        <f t="shared" si="13"/>
        <v>0</v>
      </c>
      <c r="S88" s="9" t="str">
        <f>IFERROR(INDEX(#REF!,MATCH(MIN(G88:K88),G88:K88,0)),"-")</f>
        <v>-</v>
      </c>
    </row>
    <row r="89" spans="1:19" ht="24" customHeight="1" x14ac:dyDescent="0.25">
      <c r="A89" s="8">
        <v>80</v>
      </c>
      <c r="C89" s="9" t="s">
        <v>116</v>
      </c>
      <c r="D89" s="17" t="s">
        <v>312</v>
      </c>
      <c r="E89" s="10"/>
      <c r="F89" s="10"/>
      <c r="G89" s="62"/>
      <c r="H89" s="62"/>
      <c r="I89" s="62"/>
      <c r="J89" s="62"/>
      <c r="K89" s="62"/>
      <c r="L89" s="63" t="str">
        <f t="shared" si="12"/>
        <v>-</v>
      </c>
      <c r="M89" s="64"/>
      <c r="N89" s="64"/>
      <c r="O89" s="64"/>
      <c r="P89" s="64"/>
      <c r="Q89" s="64"/>
      <c r="R89" s="63">
        <f t="shared" si="13"/>
        <v>0</v>
      </c>
      <c r="S89" s="9" t="str">
        <f>IFERROR(INDEX(#REF!,MATCH(MIN(G89:K89),G89:K89,0)),"-")</f>
        <v>-</v>
      </c>
    </row>
    <row r="90" spans="1:19" ht="24" customHeight="1" x14ac:dyDescent="0.25">
      <c r="A90" s="8">
        <v>81</v>
      </c>
      <c r="C90" s="9" t="s">
        <v>117</v>
      </c>
      <c r="D90" s="17" t="s">
        <v>313</v>
      </c>
      <c r="E90" s="10"/>
      <c r="F90" s="10"/>
      <c r="G90" s="62"/>
      <c r="H90" s="62"/>
      <c r="I90" s="62"/>
      <c r="J90" s="62"/>
      <c r="K90" s="62"/>
      <c r="L90" s="63" t="str">
        <f t="shared" si="12"/>
        <v>-</v>
      </c>
      <c r="M90" s="64"/>
      <c r="N90" s="64"/>
      <c r="O90" s="64"/>
      <c r="P90" s="64"/>
      <c r="Q90" s="64"/>
      <c r="R90" s="63">
        <f t="shared" si="13"/>
        <v>0</v>
      </c>
      <c r="S90" s="9" t="str">
        <f>IFERROR(INDEX(#REF!,MATCH(MIN(G90:K90),G90:K90,0)),"-")</f>
        <v>-</v>
      </c>
    </row>
    <row r="91" spans="1:19" ht="24" customHeight="1" x14ac:dyDescent="0.25">
      <c r="A91" s="8">
        <v>82</v>
      </c>
      <c r="C91" s="9" t="s">
        <v>118</v>
      </c>
      <c r="D91" s="17" t="s">
        <v>314</v>
      </c>
      <c r="E91" s="10"/>
      <c r="F91" s="10"/>
      <c r="G91" s="62"/>
      <c r="H91" s="62"/>
      <c r="I91" s="62"/>
      <c r="J91" s="62"/>
      <c r="K91" s="62"/>
      <c r="L91" s="63" t="str">
        <f t="shared" si="12"/>
        <v>-</v>
      </c>
      <c r="M91" s="64"/>
      <c r="N91" s="64"/>
      <c r="O91" s="64"/>
      <c r="P91" s="64"/>
      <c r="Q91" s="64"/>
      <c r="R91" s="63">
        <f t="shared" si="13"/>
        <v>0</v>
      </c>
      <c r="S91" s="9" t="str">
        <f>IFERROR(INDEX(#REF!,MATCH(MIN(G91:K91),G91:K91,0)),"-")</f>
        <v>-</v>
      </c>
    </row>
    <row r="92" spans="1:19" ht="24" customHeight="1" x14ac:dyDescent="0.25">
      <c r="A92" s="8">
        <v>83</v>
      </c>
      <c r="C92" s="9" t="s">
        <v>119</v>
      </c>
      <c r="D92" s="17" t="s">
        <v>315</v>
      </c>
      <c r="E92" s="10"/>
      <c r="F92" s="10"/>
      <c r="G92" s="62"/>
      <c r="H92" s="62"/>
      <c r="I92" s="62"/>
      <c r="J92" s="62"/>
      <c r="K92" s="62"/>
      <c r="L92" s="63" t="str">
        <f t="shared" si="12"/>
        <v>-</v>
      </c>
      <c r="M92" s="64"/>
      <c r="N92" s="64"/>
      <c r="O92" s="64"/>
      <c r="P92" s="64"/>
      <c r="Q92" s="64"/>
      <c r="R92" s="63">
        <f t="shared" si="13"/>
        <v>0</v>
      </c>
      <c r="S92" s="9" t="str">
        <f>IFERROR(INDEX(#REF!,MATCH(MIN(G92:K92),G92:K92,0)),"-")</f>
        <v>-</v>
      </c>
    </row>
    <row r="93" spans="1:19" ht="24" customHeight="1" x14ac:dyDescent="0.25">
      <c r="A93" s="8">
        <v>84</v>
      </c>
      <c r="C93" s="9" t="s">
        <v>120</v>
      </c>
      <c r="D93" s="17" t="s">
        <v>316</v>
      </c>
      <c r="E93" s="10"/>
      <c r="F93" s="10"/>
      <c r="G93" s="62"/>
      <c r="H93" s="62"/>
      <c r="I93" s="62"/>
      <c r="J93" s="62"/>
      <c r="K93" s="62"/>
      <c r="L93" s="63" t="str">
        <f t="shared" si="12"/>
        <v>-</v>
      </c>
      <c r="M93" s="64"/>
      <c r="N93" s="64"/>
      <c r="O93" s="64"/>
      <c r="P93" s="64"/>
      <c r="Q93" s="64"/>
      <c r="R93" s="63">
        <f t="shared" si="13"/>
        <v>0</v>
      </c>
      <c r="S93" s="9" t="str">
        <f>IFERROR(INDEX(#REF!,MATCH(MIN(G93:K93),G93:K93,0)),"-")</f>
        <v>-</v>
      </c>
    </row>
    <row r="94" spans="1:19" ht="24" customHeight="1" x14ac:dyDescent="0.25">
      <c r="A94" s="8">
        <v>85</v>
      </c>
      <c r="C94" s="9" t="s">
        <v>121</v>
      </c>
      <c r="D94" s="17" t="s">
        <v>317</v>
      </c>
      <c r="E94" s="10"/>
      <c r="F94" s="10"/>
      <c r="G94" s="62"/>
      <c r="H94" s="62"/>
      <c r="I94" s="62"/>
      <c r="J94" s="62"/>
      <c r="K94" s="62"/>
      <c r="L94" s="63" t="str">
        <f t="shared" si="12"/>
        <v>-</v>
      </c>
      <c r="M94" s="64"/>
      <c r="N94" s="64"/>
      <c r="O94" s="64"/>
      <c r="P94" s="64"/>
      <c r="Q94" s="64"/>
      <c r="R94" s="63">
        <f t="shared" si="13"/>
        <v>0</v>
      </c>
      <c r="S94" s="9" t="str">
        <f>IFERROR(INDEX(#REF!,MATCH(MIN(G94:K94),G94:K94,0)),"-")</f>
        <v>-</v>
      </c>
    </row>
    <row r="95" spans="1:19" ht="24" customHeight="1" x14ac:dyDescent="0.25">
      <c r="A95" s="8">
        <v>86</v>
      </c>
      <c r="C95" s="9" t="s">
        <v>122</v>
      </c>
      <c r="D95" s="17" t="s">
        <v>318</v>
      </c>
      <c r="E95" s="10"/>
      <c r="F95" s="10"/>
      <c r="G95" s="62"/>
      <c r="H95" s="62"/>
      <c r="I95" s="62"/>
      <c r="J95" s="62"/>
      <c r="K95" s="62"/>
      <c r="L95" s="63" t="str">
        <f t="shared" si="12"/>
        <v>-</v>
      </c>
      <c r="M95" s="64"/>
      <c r="N95" s="64"/>
      <c r="O95" s="64"/>
      <c r="P95" s="64"/>
      <c r="Q95" s="64"/>
      <c r="R95" s="63">
        <f t="shared" si="13"/>
        <v>0</v>
      </c>
      <c r="S95" s="9" t="str">
        <f>IFERROR(INDEX(#REF!,MATCH(MIN(G95:K95),G95:K95,0)),"-")</f>
        <v>-</v>
      </c>
    </row>
    <row r="96" spans="1:19" ht="24" customHeight="1" x14ac:dyDescent="0.25">
      <c r="A96" s="8">
        <v>87</v>
      </c>
      <c r="C96" s="9" t="s">
        <v>123</v>
      </c>
      <c r="D96" s="17" t="s">
        <v>319</v>
      </c>
      <c r="E96" s="10"/>
      <c r="F96" s="10"/>
      <c r="G96" s="62"/>
      <c r="H96" s="62"/>
      <c r="I96" s="62"/>
      <c r="J96" s="62"/>
      <c r="K96" s="62"/>
      <c r="L96" s="63" t="str">
        <f t="shared" si="12"/>
        <v>-</v>
      </c>
      <c r="M96" s="64"/>
      <c r="N96" s="64"/>
      <c r="O96" s="64"/>
      <c r="P96" s="64"/>
      <c r="Q96" s="64"/>
      <c r="R96" s="63">
        <f t="shared" si="13"/>
        <v>0</v>
      </c>
      <c r="S96" s="9" t="str">
        <f>IFERROR(INDEX(#REF!,MATCH(MIN(G96:K96),G96:K96,0)),"-")</f>
        <v>-</v>
      </c>
    </row>
    <row r="97" spans="1:19" ht="24" customHeight="1" x14ac:dyDescent="0.25">
      <c r="A97" s="8">
        <v>88</v>
      </c>
      <c r="C97" s="9" t="s">
        <v>124</v>
      </c>
      <c r="D97" s="17" t="s">
        <v>320</v>
      </c>
      <c r="E97" s="10"/>
      <c r="F97" s="10"/>
      <c r="G97" s="62"/>
      <c r="H97" s="62"/>
      <c r="I97" s="62"/>
      <c r="J97" s="62"/>
      <c r="K97" s="62"/>
      <c r="L97" s="63" t="str">
        <f t="shared" si="12"/>
        <v>-</v>
      </c>
      <c r="M97" s="64"/>
      <c r="N97" s="64"/>
      <c r="O97" s="64"/>
      <c r="P97" s="64"/>
      <c r="Q97" s="64"/>
      <c r="R97" s="63">
        <f t="shared" si="13"/>
        <v>0</v>
      </c>
      <c r="S97" s="9" t="str">
        <f>IFERROR(INDEX(#REF!,MATCH(MIN(G97:K97),G97:K97,0)),"-")</f>
        <v>-</v>
      </c>
    </row>
    <row r="98" spans="1:19" ht="24" customHeight="1" x14ac:dyDescent="0.25">
      <c r="A98" s="8">
        <v>89</v>
      </c>
      <c r="C98" s="9" t="s">
        <v>125</v>
      </c>
      <c r="D98" s="17" t="s">
        <v>321</v>
      </c>
      <c r="E98" s="10"/>
      <c r="F98" s="10"/>
      <c r="G98" s="62"/>
      <c r="H98" s="62"/>
      <c r="I98" s="62"/>
      <c r="J98" s="62"/>
      <c r="K98" s="62"/>
      <c r="L98" s="63" t="str">
        <f t="shared" si="12"/>
        <v>-</v>
      </c>
      <c r="M98" s="64"/>
      <c r="N98" s="64"/>
      <c r="O98" s="64"/>
      <c r="P98" s="64"/>
      <c r="Q98" s="64"/>
      <c r="R98" s="63">
        <f t="shared" si="13"/>
        <v>0</v>
      </c>
      <c r="S98" s="9" t="str">
        <f>IFERROR(INDEX(#REF!,MATCH(MIN(G98:K98),G98:K98,0)),"-")</f>
        <v>-</v>
      </c>
    </row>
    <row r="99" spans="1:19" ht="24" customHeight="1" x14ac:dyDescent="0.25">
      <c r="A99" s="8">
        <v>90</v>
      </c>
      <c r="C99" s="9" t="s">
        <v>126</v>
      </c>
      <c r="D99" s="17" t="s">
        <v>322</v>
      </c>
      <c r="E99" s="10"/>
      <c r="F99" s="10"/>
      <c r="G99" s="62"/>
      <c r="H99" s="62"/>
      <c r="I99" s="62"/>
      <c r="J99" s="62"/>
      <c r="K99" s="62"/>
      <c r="L99" s="63" t="str">
        <f t="shared" si="12"/>
        <v>-</v>
      </c>
      <c r="M99" s="64"/>
      <c r="N99" s="64"/>
      <c r="O99" s="64"/>
      <c r="P99" s="64"/>
      <c r="Q99" s="64"/>
      <c r="R99" s="63">
        <f t="shared" si="13"/>
        <v>0</v>
      </c>
      <c r="S99" s="9" t="str">
        <f>IFERROR(INDEX(#REF!,MATCH(MIN(G99:K99),G99:K99,0)),"-")</f>
        <v>-</v>
      </c>
    </row>
    <row r="100" spans="1:19" ht="24" customHeight="1" x14ac:dyDescent="0.25">
      <c r="A100" s="8">
        <v>91</v>
      </c>
      <c r="C100" s="9" t="s">
        <v>127</v>
      </c>
      <c r="D100" s="17" t="s">
        <v>323</v>
      </c>
      <c r="E100" s="10"/>
      <c r="F100" s="10"/>
      <c r="G100" s="62"/>
      <c r="H100" s="62"/>
      <c r="I100" s="62"/>
      <c r="J100" s="62"/>
      <c r="K100" s="62"/>
      <c r="L100" s="63" t="str">
        <f t="shared" si="12"/>
        <v>-</v>
      </c>
      <c r="M100" s="64"/>
      <c r="N100" s="64"/>
      <c r="O100" s="64"/>
      <c r="P100" s="64"/>
      <c r="Q100" s="64"/>
      <c r="R100" s="63">
        <f t="shared" si="13"/>
        <v>0</v>
      </c>
      <c r="S100" s="9" t="str">
        <f>IFERROR(INDEX(#REF!,MATCH(MIN(G100:K100),G100:K100,0)),"-")</f>
        <v>-</v>
      </c>
    </row>
    <row r="101" spans="1:19" ht="24" customHeight="1" x14ac:dyDescent="0.25">
      <c r="A101" s="8">
        <v>92</v>
      </c>
      <c r="C101" s="9" t="s">
        <v>128</v>
      </c>
      <c r="D101" s="17" t="s">
        <v>324</v>
      </c>
      <c r="E101" s="10"/>
      <c r="F101" s="10"/>
      <c r="G101" s="62"/>
      <c r="H101" s="62"/>
      <c r="I101" s="62"/>
      <c r="J101" s="62"/>
      <c r="K101" s="62"/>
      <c r="L101" s="63" t="str">
        <f t="shared" si="12"/>
        <v>-</v>
      </c>
      <c r="M101" s="64"/>
      <c r="N101" s="64"/>
      <c r="O101" s="64"/>
      <c r="P101" s="64"/>
      <c r="Q101" s="64"/>
      <c r="R101" s="63">
        <f t="shared" si="13"/>
        <v>0</v>
      </c>
      <c r="S101" s="9" t="str">
        <f>IFERROR(INDEX(#REF!,MATCH(MIN(G101:K101),G101:K101,0)),"-")</f>
        <v>-</v>
      </c>
    </row>
    <row r="102" spans="1:19" ht="24" customHeight="1" x14ac:dyDescent="0.25">
      <c r="A102" s="8">
        <v>93</v>
      </c>
      <c r="C102" s="9" t="s">
        <v>129</v>
      </c>
      <c r="D102" s="17" t="s">
        <v>325</v>
      </c>
      <c r="E102" s="10"/>
      <c r="F102" s="10"/>
      <c r="G102" s="62"/>
      <c r="H102" s="62"/>
      <c r="I102" s="62"/>
      <c r="J102" s="62"/>
      <c r="K102" s="62"/>
      <c r="L102" s="63" t="str">
        <f t="shared" si="12"/>
        <v>-</v>
      </c>
      <c r="M102" s="64"/>
      <c r="N102" s="64"/>
      <c r="O102" s="64"/>
      <c r="P102" s="64"/>
      <c r="Q102" s="64"/>
      <c r="R102" s="63">
        <f t="shared" si="13"/>
        <v>0</v>
      </c>
      <c r="S102" s="9" t="str">
        <f>IFERROR(INDEX(#REF!,MATCH(MIN(G102:K102),G102:K102,0)),"-")</f>
        <v>-</v>
      </c>
    </row>
    <row r="103" spans="1:19" ht="24" customHeight="1" x14ac:dyDescent="0.25">
      <c r="A103" s="8">
        <v>94</v>
      </c>
      <c r="C103" s="9" t="s">
        <v>130</v>
      </c>
      <c r="D103" s="17" t="s">
        <v>326</v>
      </c>
      <c r="E103" s="10"/>
      <c r="F103" s="10"/>
      <c r="G103" s="62"/>
      <c r="H103" s="62"/>
      <c r="I103" s="62"/>
      <c r="J103" s="62"/>
      <c r="K103" s="62"/>
      <c r="L103" s="63" t="str">
        <f t="shared" si="12"/>
        <v>-</v>
      </c>
      <c r="M103" s="64"/>
      <c r="N103" s="64"/>
      <c r="O103" s="64"/>
      <c r="P103" s="64"/>
      <c r="Q103" s="64"/>
      <c r="R103" s="63">
        <f t="shared" si="13"/>
        <v>0</v>
      </c>
      <c r="S103" s="9" t="str">
        <f>IFERROR(INDEX(#REF!,MATCH(MIN(G103:K103),G103:K103,0)),"-")</f>
        <v>-</v>
      </c>
    </row>
    <row r="104" spans="1:19" ht="24" customHeight="1" x14ac:dyDescent="0.25">
      <c r="A104" s="8">
        <v>95</v>
      </c>
      <c r="C104" s="9" t="s">
        <v>131</v>
      </c>
      <c r="D104" s="17" t="s">
        <v>327</v>
      </c>
      <c r="E104" s="10"/>
      <c r="F104" s="10"/>
      <c r="G104" s="62"/>
      <c r="H104" s="62"/>
      <c r="I104" s="62"/>
      <c r="J104" s="62"/>
      <c r="K104" s="62"/>
      <c r="L104" s="63" t="str">
        <f t="shared" si="12"/>
        <v>-</v>
      </c>
      <c r="M104" s="64"/>
      <c r="N104" s="64"/>
      <c r="O104" s="64"/>
      <c r="P104" s="64"/>
      <c r="Q104" s="64"/>
      <c r="R104" s="63">
        <f t="shared" si="13"/>
        <v>0</v>
      </c>
      <c r="S104" s="9" t="str">
        <f>IFERROR(INDEX(#REF!,MATCH(MIN(G104:K104),G104:K104,0)),"-")</f>
        <v>-</v>
      </c>
    </row>
    <row r="105" spans="1:19" ht="24" customHeight="1" x14ac:dyDescent="0.25">
      <c r="A105" s="8">
        <v>96</v>
      </c>
      <c r="C105" s="9" t="s">
        <v>132</v>
      </c>
      <c r="D105" s="17" t="s">
        <v>328</v>
      </c>
      <c r="E105" s="10"/>
      <c r="F105" s="10"/>
      <c r="G105" s="62"/>
      <c r="H105" s="62"/>
      <c r="I105" s="62"/>
      <c r="J105" s="62"/>
      <c r="K105" s="62"/>
      <c r="L105" s="63" t="str">
        <f t="shared" si="12"/>
        <v>-</v>
      </c>
      <c r="M105" s="64"/>
      <c r="N105" s="64"/>
      <c r="O105" s="64"/>
      <c r="P105" s="64"/>
      <c r="Q105" s="64"/>
      <c r="R105" s="63">
        <f t="shared" si="13"/>
        <v>0</v>
      </c>
      <c r="S105" s="9" t="str">
        <f>IFERROR(INDEX(#REF!,MATCH(MIN(G105:K105),G105:K105,0)),"-")</f>
        <v>-</v>
      </c>
    </row>
    <row r="106" spans="1:19" ht="24" customHeight="1" x14ac:dyDescent="0.25">
      <c r="A106" s="8">
        <v>97</v>
      </c>
      <c r="C106" s="9" t="s">
        <v>133</v>
      </c>
      <c r="D106" s="17" t="s">
        <v>329</v>
      </c>
      <c r="E106" s="10"/>
      <c r="F106" s="10"/>
      <c r="G106" s="62"/>
      <c r="H106" s="62"/>
      <c r="I106" s="62"/>
      <c r="J106" s="62"/>
      <c r="K106" s="62"/>
      <c r="L106" s="63" t="str">
        <f t="shared" si="12"/>
        <v>-</v>
      </c>
      <c r="M106" s="64"/>
      <c r="N106" s="64"/>
      <c r="O106" s="64"/>
      <c r="P106" s="64"/>
      <c r="Q106" s="64"/>
      <c r="R106" s="63">
        <f t="shared" si="13"/>
        <v>0</v>
      </c>
      <c r="S106" s="9" t="str">
        <f>IFERROR(INDEX(#REF!,MATCH(MIN(G106:K106),G106:K106,0)),"-")</f>
        <v>-</v>
      </c>
    </row>
    <row r="107" spans="1:19" ht="24" customHeight="1" x14ac:dyDescent="0.25">
      <c r="A107" s="8">
        <v>98</v>
      </c>
      <c r="C107" s="9" t="s">
        <v>134</v>
      </c>
      <c r="D107" s="17" t="s">
        <v>330</v>
      </c>
      <c r="E107" s="10"/>
      <c r="F107" s="10"/>
      <c r="G107" s="62"/>
      <c r="H107" s="62"/>
      <c r="I107" s="62"/>
      <c r="J107" s="62"/>
      <c r="K107" s="62"/>
      <c r="L107" s="63" t="str">
        <f t="shared" si="12"/>
        <v>-</v>
      </c>
      <c r="M107" s="64"/>
      <c r="N107" s="64"/>
      <c r="O107" s="64"/>
      <c r="P107" s="64"/>
      <c r="Q107" s="64"/>
      <c r="R107" s="63">
        <f t="shared" si="13"/>
        <v>0</v>
      </c>
      <c r="S107" s="9" t="str">
        <f>IFERROR(INDEX(#REF!,MATCH(MIN(G107:K107),G107:K107,0)),"-")</f>
        <v>-</v>
      </c>
    </row>
    <row r="108" spans="1:19" ht="24" customHeight="1" x14ac:dyDescent="0.25">
      <c r="A108" s="8">
        <v>99</v>
      </c>
      <c r="C108" s="9" t="s">
        <v>135</v>
      </c>
      <c r="D108" s="17" t="s">
        <v>331</v>
      </c>
      <c r="E108" s="10"/>
      <c r="F108" s="10"/>
      <c r="G108" s="62"/>
      <c r="H108" s="62"/>
      <c r="I108" s="62"/>
      <c r="J108" s="62"/>
      <c r="K108" s="62"/>
      <c r="L108" s="63" t="str">
        <f t="shared" si="12"/>
        <v>-</v>
      </c>
      <c r="M108" s="64"/>
      <c r="N108" s="64"/>
      <c r="O108" s="64"/>
      <c r="P108" s="64"/>
      <c r="Q108" s="64"/>
      <c r="R108" s="63">
        <f t="shared" si="13"/>
        <v>0</v>
      </c>
      <c r="S108" s="9" t="str">
        <f>IFERROR(INDEX(#REF!,MATCH(MIN(G108:K108),G108:K108,0)),"-")</f>
        <v>-</v>
      </c>
    </row>
    <row r="109" spans="1:19" ht="24" customHeight="1" x14ac:dyDescent="0.25">
      <c r="A109" s="8">
        <v>100</v>
      </c>
      <c r="C109" s="9" t="s">
        <v>136</v>
      </c>
      <c r="D109" s="17" t="s">
        <v>332</v>
      </c>
      <c r="E109" s="10"/>
      <c r="F109" s="10"/>
      <c r="G109" s="62"/>
      <c r="H109" s="62"/>
      <c r="I109" s="62"/>
      <c r="J109" s="62"/>
      <c r="K109" s="62"/>
      <c r="L109" s="63" t="str">
        <f t="shared" si="12"/>
        <v>-</v>
      </c>
      <c r="M109" s="64"/>
      <c r="N109" s="64"/>
      <c r="O109" s="64"/>
      <c r="P109" s="64"/>
      <c r="Q109" s="64"/>
      <c r="R109" s="63">
        <f t="shared" si="13"/>
        <v>0</v>
      </c>
      <c r="S109" s="9" t="str">
        <f>IFERROR(INDEX(#REF!,MATCH(MIN(G109:K109),G109:K109,0)),"-")</f>
        <v>-</v>
      </c>
    </row>
    <row r="110" spans="1:19" ht="24" customHeight="1" x14ac:dyDescent="0.25">
      <c r="A110" s="8">
        <v>101</v>
      </c>
      <c r="C110" s="9" t="s">
        <v>137</v>
      </c>
      <c r="D110" s="17" t="s">
        <v>333</v>
      </c>
      <c r="E110" s="10"/>
      <c r="F110" s="10"/>
      <c r="G110" s="62"/>
      <c r="H110" s="62"/>
      <c r="I110" s="62"/>
      <c r="J110" s="62"/>
      <c r="K110" s="62"/>
      <c r="L110" s="63" t="str">
        <f t="shared" si="12"/>
        <v>-</v>
      </c>
      <c r="M110" s="64"/>
      <c r="N110" s="64"/>
      <c r="O110" s="64"/>
      <c r="P110" s="64"/>
      <c r="Q110" s="64"/>
      <c r="R110" s="63">
        <f t="shared" si="13"/>
        <v>0</v>
      </c>
      <c r="S110" s="9" t="str">
        <f>IFERROR(INDEX(#REF!,MATCH(MIN(G110:K110),G110:K110,0)),"-")</f>
        <v>-</v>
      </c>
    </row>
    <row r="111" spans="1:19" ht="24" customHeight="1" x14ac:dyDescent="0.25">
      <c r="A111" s="8">
        <v>102</v>
      </c>
      <c r="C111" s="9" t="s">
        <v>138</v>
      </c>
      <c r="D111" s="17" t="s">
        <v>334</v>
      </c>
      <c r="E111" s="10"/>
      <c r="F111" s="10"/>
      <c r="G111" s="62"/>
      <c r="H111" s="62"/>
      <c r="I111" s="62"/>
      <c r="J111" s="62"/>
      <c r="K111" s="62"/>
      <c r="L111" s="63" t="str">
        <f t="shared" si="12"/>
        <v>-</v>
      </c>
      <c r="M111" s="64"/>
      <c r="N111" s="64"/>
      <c r="O111" s="64"/>
      <c r="P111" s="64"/>
      <c r="Q111" s="64"/>
      <c r="R111" s="63">
        <f t="shared" si="13"/>
        <v>0</v>
      </c>
      <c r="S111" s="9" t="str">
        <f>IFERROR(INDEX(#REF!,MATCH(MIN(G111:K111),G111:K111,0)),"-")</f>
        <v>-</v>
      </c>
    </row>
    <row r="112" spans="1:19" ht="24" customHeight="1" x14ac:dyDescent="0.25">
      <c r="A112" s="8">
        <v>103</v>
      </c>
      <c r="C112" s="9" t="s">
        <v>139</v>
      </c>
      <c r="D112" s="17" t="s">
        <v>335</v>
      </c>
      <c r="E112" s="10"/>
      <c r="F112" s="10"/>
      <c r="G112" s="62"/>
      <c r="H112" s="62"/>
      <c r="I112" s="62"/>
      <c r="J112" s="62"/>
      <c r="K112" s="62"/>
      <c r="L112" s="63" t="str">
        <f t="shared" si="12"/>
        <v>-</v>
      </c>
      <c r="M112" s="64"/>
      <c r="N112" s="64"/>
      <c r="O112" s="64"/>
      <c r="P112" s="64"/>
      <c r="Q112" s="64"/>
      <c r="R112" s="63">
        <f t="shared" si="13"/>
        <v>0</v>
      </c>
      <c r="S112" s="9" t="str">
        <f>IFERROR(INDEX(#REF!,MATCH(MIN(G112:K112),G112:K112,0)),"-")</f>
        <v>-</v>
      </c>
    </row>
    <row r="113" spans="1:19" ht="24" customHeight="1" x14ac:dyDescent="0.25">
      <c r="A113" s="8">
        <v>104</v>
      </c>
      <c r="C113" s="9" t="s">
        <v>140</v>
      </c>
      <c r="D113" s="17" t="s">
        <v>336</v>
      </c>
      <c r="E113" s="10"/>
      <c r="F113" s="10"/>
      <c r="G113" s="62"/>
      <c r="H113" s="62"/>
      <c r="I113" s="62"/>
      <c r="J113" s="62"/>
      <c r="K113" s="62"/>
      <c r="L113" s="63" t="str">
        <f t="shared" si="12"/>
        <v>-</v>
      </c>
      <c r="M113" s="64"/>
      <c r="N113" s="64"/>
      <c r="O113" s="64"/>
      <c r="P113" s="64"/>
      <c r="Q113" s="64"/>
      <c r="R113" s="63">
        <f t="shared" si="13"/>
        <v>0</v>
      </c>
      <c r="S113" s="9" t="str">
        <f>IFERROR(INDEX(#REF!,MATCH(MIN(G113:K113),G113:K113,0)),"-")</f>
        <v>-</v>
      </c>
    </row>
    <row r="114" spans="1:19" ht="24" customHeight="1" x14ac:dyDescent="0.25">
      <c r="A114" s="8">
        <v>105</v>
      </c>
      <c r="C114" s="9" t="s">
        <v>141</v>
      </c>
      <c r="D114" s="17" t="s">
        <v>337</v>
      </c>
      <c r="E114" s="10"/>
      <c r="F114" s="10"/>
      <c r="G114" s="62"/>
      <c r="H114" s="62"/>
      <c r="I114" s="62"/>
      <c r="J114" s="62"/>
      <c r="K114" s="62"/>
      <c r="L114" s="63" t="str">
        <f t="shared" si="12"/>
        <v>-</v>
      </c>
      <c r="M114" s="64"/>
      <c r="N114" s="64"/>
      <c r="O114" s="64"/>
      <c r="P114" s="64"/>
      <c r="Q114" s="64"/>
      <c r="R114" s="63">
        <f t="shared" si="13"/>
        <v>0</v>
      </c>
      <c r="S114" s="9" t="str">
        <f>IFERROR(INDEX(#REF!,MATCH(MIN(G114:K114),G114:K114,0)),"-")</f>
        <v>-</v>
      </c>
    </row>
    <row r="115" spans="1:19" ht="24" customHeight="1" x14ac:dyDescent="0.25">
      <c r="A115" s="8">
        <v>106</v>
      </c>
      <c r="C115" s="9" t="s">
        <v>142</v>
      </c>
      <c r="D115" s="17" t="s">
        <v>338</v>
      </c>
      <c r="E115" s="10"/>
      <c r="F115" s="10"/>
      <c r="G115" s="62"/>
      <c r="H115" s="62"/>
      <c r="I115" s="62"/>
      <c r="J115" s="62"/>
      <c r="K115" s="62"/>
      <c r="L115" s="63" t="str">
        <f t="shared" si="12"/>
        <v>-</v>
      </c>
      <c r="M115" s="64"/>
      <c r="N115" s="64"/>
      <c r="O115" s="64"/>
      <c r="P115" s="64"/>
      <c r="Q115" s="64"/>
      <c r="R115" s="63">
        <f t="shared" si="13"/>
        <v>0</v>
      </c>
      <c r="S115" s="9" t="str">
        <f>IFERROR(INDEX(#REF!,MATCH(MIN(G115:K115),G115:K115,0)),"-")</f>
        <v>-</v>
      </c>
    </row>
    <row r="116" spans="1:19" ht="24" customHeight="1" x14ac:dyDescent="0.25">
      <c r="A116" s="8">
        <v>107</v>
      </c>
      <c r="C116" s="9" t="s">
        <v>143</v>
      </c>
      <c r="D116" s="17" t="s">
        <v>339</v>
      </c>
      <c r="E116" s="10"/>
      <c r="F116" s="10"/>
      <c r="G116" s="62"/>
      <c r="H116" s="62"/>
      <c r="I116" s="62"/>
      <c r="J116" s="62"/>
      <c r="K116" s="62"/>
      <c r="L116" s="63" t="str">
        <f t="shared" si="12"/>
        <v>-</v>
      </c>
      <c r="M116" s="64"/>
      <c r="N116" s="64"/>
      <c r="O116" s="64"/>
      <c r="P116" s="64"/>
      <c r="Q116" s="64"/>
      <c r="R116" s="63">
        <f t="shared" si="13"/>
        <v>0</v>
      </c>
      <c r="S116" s="9" t="str">
        <f>IFERROR(INDEX(#REF!,MATCH(MIN(G116:K116),G116:K116,0)),"-")</f>
        <v>-</v>
      </c>
    </row>
    <row r="117" spans="1:19" ht="24" customHeight="1" x14ac:dyDescent="0.25">
      <c r="A117" s="8">
        <v>108</v>
      </c>
      <c r="C117" s="9" t="s">
        <v>144</v>
      </c>
      <c r="D117" s="17" t="s">
        <v>340</v>
      </c>
      <c r="E117" s="10"/>
      <c r="F117" s="10"/>
      <c r="G117" s="62"/>
      <c r="H117" s="62"/>
      <c r="I117" s="62"/>
      <c r="J117" s="62"/>
      <c r="K117" s="62"/>
      <c r="L117" s="63" t="str">
        <f t="shared" si="12"/>
        <v>-</v>
      </c>
      <c r="M117" s="64"/>
      <c r="N117" s="64"/>
      <c r="O117" s="64"/>
      <c r="P117" s="64"/>
      <c r="Q117" s="64"/>
      <c r="R117" s="63">
        <f t="shared" si="13"/>
        <v>0</v>
      </c>
      <c r="S117" s="9" t="str">
        <f>IFERROR(INDEX(#REF!,MATCH(MIN(G117:K117),G117:K117,0)),"-")</f>
        <v>-</v>
      </c>
    </row>
    <row r="118" spans="1:19" ht="24" customHeight="1" x14ac:dyDescent="0.25">
      <c r="A118" s="8">
        <v>109</v>
      </c>
      <c r="C118" s="9" t="s">
        <v>145</v>
      </c>
      <c r="D118" s="17" t="s">
        <v>341</v>
      </c>
      <c r="E118" s="10"/>
      <c r="F118" s="10"/>
      <c r="G118" s="62"/>
      <c r="H118" s="62"/>
      <c r="I118" s="62"/>
      <c r="J118" s="62"/>
      <c r="K118" s="62"/>
      <c r="L118" s="63" t="str">
        <f t="shared" si="12"/>
        <v>-</v>
      </c>
      <c r="M118" s="64"/>
      <c r="N118" s="64"/>
      <c r="O118" s="64"/>
      <c r="P118" s="64"/>
      <c r="Q118" s="64"/>
      <c r="R118" s="63">
        <f t="shared" si="13"/>
        <v>0</v>
      </c>
      <c r="S118" s="9" t="str">
        <f>IFERROR(INDEX(#REF!,MATCH(MIN(G118:K118),G118:K118,0)),"-")</f>
        <v>-</v>
      </c>
    </row>
    <row r="119" spans="1:19" ht="24" customHeight="1" x14ac:dyDescent="0.25">
      <c r="A119" s="8">
        <v>110</v>
      </c>
      <c r="C119" s="9" t="s">
        <v>146</v>
      </c>
      <c r="D119" s="17" t="s">
        <v>342</v>
      </c>
      <c r="E119" s="10"/>
      <c r="F119" s="10"/>
      <c r="G119" s="62"/>
      <c r="H119" s="62"/>
      <c r="I119" s="62"/>
      <c r="J119" s="62"/>
      <c r="K119" s="62"/>
      <c r="L119" s="63" t="str">
        <f t="shared" si="12"/>
        <v>-</v>
      </c>
      <c r="M119" s="64"/>
      <c r="N119" s="64"/>
      <c r="O119" s="64"/>
      <c r="P119" s="64"/>
      <c r="Q119" s="64"/>
      <c r="R119" s="63">
        <f t="shared" si="13"/>
        <v>0</v>
      </c>
      <c r="S119" s="9" t="str">
        <f>IFERROR(INDEX(#REF!,MATCH(MIN(G119:K119),G119:K119,0)),"-")</f>
        <v>-</v>
      </c>
    </row>
    <row r="120" spans="1:19" ht="24" customHeight="1" x14ac:dyDescent="0.25">
      <c r="A120" s="8">
        <v>111</v>
      </c>
      <c r="C120" s="9" t="s">
        <v>147</v>
      </c>
      <c r="D120" s="17" t="s">
        <v>343</v>
      </c>
      <c r="E120" s="10"/>
      <c r="F120" s="10"/>
      <c r="G120" s="62"/>
      <c r="H120" s="62"/>
      <c r="I120" s="62"/>
      <c r="J120" s="62"/>
      <c r="K120" s="62"/>
      <c r="L120" s="63" t="str">
        <f t="shared" si="12"/>
        <v>-</v>
      </c>
      <c r="M120" s="64"/>
      <c r="N120" s="64"/>
      <c r="O120" s="64"/>
      <c r="P120" s="64"/>
      <c r="Q120" s="64"/>
      <c r="R120" s="63">
        <f t="shared" si="13"/>
        <v>0</v>
      </c>
      <c r="S120" s="9" t="str">
        <f>IFERROR(INDEX(#REF!,MATCH(MIN(G120:K120),G120:K120,0)),"-")</f>
        <v>-</v>
      </c>
    </row>
    <row r="121" spans="1:19" ht="24" customHeight="1" x14ac:dyDescent="0.25">
      <c r="A121" s="8">
        <v>112</v>
      </c>
      <c r="C121" s="9" t="s">
        <v>148</v>
      </c>
      <c r="D121" s="17" t="s">
        <v>344</v>
      </c>
      <c r="E121" s="10"/>
      <c r="F121" s="10"/>
      <c r="G121" s="62"/>
      <c r="H121" s="62"/>
      <c r="I121" s="62"/>
      <c r="J121" s="62"/>
      <c r="K121" s="62"/>
      <c r="L121" s="63" t="str">
        <f t="shared" si="12"/>
        <v>-</v>
      </c>
      <c r="M121" s="64"/>
      <c r="N121" s="64"/>
      <c r="O121" s="64"/>
      <c r="P121" s="64"/>
      <c r="Q121" s="64"/>
      <c r="R121" s="63">
        <f t="shared" si="13"/>
        <v>0</v>
      </c>
      <c r="S121" s="9" t="str">
        <f>IFERROR(INDEX(#REF!,MATCH(MIN(G121:K121),G121:K121,0)),"-")</f>
        <v>-</v>
      </c>
    </row>
    <row r="122" spans="1:19" ht="24" customHeight="1" x14ac:dyDescent="0.25">
      <c r="A122" s="8">
        <v>113</v>
      </c>
      <c r="C122" s="9" t="s">
        <v>149</v>
      </c>
      <c r="D122" s="17" t="s">
        <v>345</v>
      </c>
      <c r="E122" s="10"/>
      <c r="F122" s="10"/>
      <c r="G122" s="62"/>
      <c r="H122" s="62"/>
      <c r="I122" s="62"/>
      <c r="J122" s="62"/>
      <c r="K122" s="62"/>
      <c r="L122" s="63" t="str">
        <f t="shared" si="12"/>
        <v>-</v>
      </c>
      <c r="M122" s="64"/>
      <c r="N122" s="64"/>
      <c r="O122" s="64"/>
      <c r="P122" s="64"/>
      <c r="Q122" s="64"/>
      <c r="R122" s="63">
        <f t="shared" si="13"/>
        <v>0</v>
      </c>
      <c r="S122" s="9" t="str">
        <f>IFERROR(INDEX(#REF!,MATCH(MIN(G122:K122),G122:K122,0)),"-")</f>
        <v>-</v>
      </c>
    </row>
    <row r="123" spans="1:19" ht="24" customHeight="1" x14ac:dyDescent="0.25">
      <c r="A123" s="8">
        <v>114</v>
      </c>
      <c r="C123" s="9" t="s">
        <v>150</v>
      </c>
      <c r="D123" s="17" t="s">
        <v>346</v>
      </c>
      <c r="E123" s="10"/>
      <c r="F123" s="10"/>
      <c r="G123" s="62"/>
      <c r="H123" s="62"/>
      <c r="I123" s="62"/>
      <c r="J123" s="62"/>
      <c r="K123" s="62"/>
      <c r="L123" s="63" t="str">
        <f t="shared" si="12"/>
        <v>-</v>
      </c>
      <c r="M123" s="64"/>
      <c r="N123" s="64"/>
      <c r="O123" s="64"/>
      <c r="P123" s="64"/>
      <c r="Q123" s="64"/>
      <c r="R123" s="63">
        <f t="shared" si="13"/>
        <v>0</v>
      </c>
      <c r="S123" s="9" t="str">
        <f>IFERROR(INDEX(#REF!,MATCH(MIN(G123:K123),G123:K123,0)),"-")</f>
        <v>-</v>
      </c>
    </row>
    <row r="124" spans="1:19" ht="24" customHeight="1" x14ac:dyDescent="0.25">
      <c r="A124" s="8">
        <v>115</v>
      </c>
      <c r="C124" s="9" t="s">
        <v>151</v>
      </c>
      <c r="D124" s="19" t="s">
        <v>347</v>
      </c>
      <c r="E124" s="10"/>
      <c r="F124" s="10"/>
      <c r="G124" s="62"/>
      <c r="H124" s="62"/>
      <c r="I124" s="62"/>
      <c r="J124" s="62"/>
      <c r="K124" s="62"/>
      <c r="L124" s="63" t="str">
        <f t="shared" si="12"/>
        <v>-</v>
      </c>
      <c r="M124" s="64"/>
      <c r="N124" s="64"/>
      <c r="O124" s="64"/>
      <c r="P124" s="64"/>
      <c r="Q124" s="64"/>
      <c r="R124" s="63">
        <f t="shared" si="13"/>
        <v>0</v>
      </c>
      <c r="S124" s="9" t="str">
        <f>IFERROR(INDEX(#REF!,MATCH(MIN(G124:K124),G124:K124,0)),"-")</f>
        <v>-</v>
      </c>
    </row>
    <row r="125" spans="1:19" ht="24" customHeight="1" x14ac:dyDescent="0.25">
      <c r="A125" s="8">
        <v>116</v>
      </c>
      <c r="C125" s="9" t="s">
        <v>152</v>
      </c>
      <c r="D125" s="17" t="s">
        <v>348</v>
      </c>
      <c r="E125" s="10"/>
      <c r="F125" s="10"/>
      <c r="G125" s="62"/>
      <c r="H125" s="62"/>
      <c r="I125" s="62"/>
      <c r="J125" s="62"/>
      <c r="K125" s="62"/>
      <c r="L125" s="63" t="str">
        <f t="shared" si="12"/>
        <v>-</v>
      </c>
      <c r="M125" s="64"/>
      <c r="N125" s="64"/>
      <c r="O125" s="64"/>
      <c r="P125" s="64"/>
      <c r="Q125" s="64"/>
      <c r="R125" s="63">
        <f t="shared" si="13"/>
        <v>0</v>
      </c>
      <c r="S125" s="9" t="str">
        <f>IFERROR(INDEX(#REF!,MATCH(MIN(G125:K125),G125:K125,0)),"-")</f>
        <v>-</v>
      </c>
    </row>
    <row r="126" spans="1:19" ht="24" customHeight="1" x14ac:dyDescent="0.25">
      <c r="A126" s="8">
        <v>117</v>
      </c>
      <c r="C126" s="9" t="s">
        <v>153</v>
      </c>
      <c r="D126" s="17" t="s">
        <v>349</v>
      </c>
      <c r="E126" s="10"/>
      <c r="F126" s="10"/>
      <c r="G126" s="62"/>
      <c r="H126" s="62"/>
      <c r="I126" s="62"/>
      <c r="J126" s="62"/>
      <c r="K126" s="62"/>
      <c r="L126" s="63" t="str">
        <f t="shared" si="12"/>
        <v>-</v>
      </c>
      <c r="M126" s="64"/>
      <c r="N126" s="64"/>
      <c r="O126" s="64"/>
      <c r="P126" s="64"/>
      <c r="Q126" s="64"/>
      <c r="R126" s="63">
        <f t="shared" si="13"/>
        <v>0</v>
      </c>
      <c r="S126" s="9" t="str">
        <f>IFERROR(INDEX(#REF!,MATCH(MIN(G126:K126),G126:K126,0)),"-")</f>
        <v>-</v>
      </c>
    </row>
    <row r="127" spans="1:19" ht="24" customHeight="1" x14ac:dyDescent="0.25">
      <c r="A127" s="8">
        <v>118</v>
      </c>
      <c r="C127" s="9" t="s">
        <v>154</v>
      </c>
      <c r="D127" s="17" t="s">
        <v>350</v>
      </c>
      <c r="E127" s="10"/>
      <c r="F127" s="10"/>
      <c r="G127" s="62"/>
      <c r="H127" s="62"/>
      <c r="I127" s="62"/>
      <c r="J127" s="62"/>
      <c r="K127" s="62"/>
      <c r="L127" s="63" t="str">
        <f t="shared" si="12"/>
        <v>-</v>
      </c>
      <c r="M127" s="64"/>
      <c r="N127" s="64"/>
      <c r="O127" s="64"/>
      <c r="P127" s="64"/>
      <c r="Q127" s="64"/>
      <c r="R127" s="63">
        <f t="shared" si="13"/>
        <v>0</v>
      </c>
      <c r="S127" s="9" t="str">
        <f>IFERROR(INDEX(#REF!,MATCH(MIN(G127:K127),G127:K127,0)),"-")</f>
        <v>-</v>
      </c>
    </row>
    <row r="128" spans="1:19" ht="24" customHeight="1" x14ac:dyDescent="0.25">
      <c r="A128" s="8">
        <v>119</v>
      </c>
      <c r="C128" s="9" t="s">
        <v>155</v>
      </c>
      <c r="D128" s="17" t="s">
        <v>351</v>
      </c>
      <c r="E128" s="10"/>
      <c r="F128" s="10"/>
      <c r="G128" s="62"/>
      <c r="H128" s="62"/>
      <c r="I128" s="62"/>
      <c r="J128" s="62"/>
      <c r="K128" s="62"/>
      <c r="L128" s="63" t="str">
        <f t="shared" si="12"/>
        <v>-</v>
      </c>
      <c r="M128" s="64"/>
      <c r="N128" s="64"/>
      <c r="O128" s="64"/>
      <c r="P128" s="64"/>
      <c r="Q128" s="64"/>
      <c r="R128" s="63">
        <f t="shared" si="13"/>
        <v>0</v>
      </c>
      <c r="S128" s="9" t="str">
        <f>IFERROR(INDEX(#REF!,MATCH(MIN(G128:K128),G128:K128,0)),"-")</f>
        <v>-</v>
      </c>
    </row>
    <row r="129" spans="1:19" ht="24" customHeight="1" x14ac:dyDescent="0.25">
      <c r="A129" s="8">
        <v>120</v>
      </c>
      <c r="C129" s="9" t="s">
        <v>156</v>
      </c>
      <c r="D129" s="17" t="s">
        <v>352</v>
      </c>
      <c r="E129" s="10"/>
      <c r="F129" s="10"/>
      <c r="G129" s="62"/>
      <c r="H129" s="62"/>
      <c r="I129" s="62"/>
      <c r="J129" s="62"/>
      <c r="K129" s="62"/>
      <c r="L129" s="63" t="str">
        <f t="shared" si="12"/>
        <v>-</v>
      </c>
      <c r="M129" s="64"/>
      <c r="N129" s="64"/>
      <c r="O129" s="64"/>
      <c r="P129" s="64"/>
      <c r="Q129" s="64"/>
      <c r="R129" s="63">
        <f t="shared" si="13"/>
        <v>0</v>
      </c>
      <c r="S129" s="9" t="str">
        <f>IFERROR(INDEX(#REF!,MATCH(MIN(G129:K129),G129:K129,0)),"-")</f>
        <v>-</v>
      </c>
    </row>
    <row r="130" spans="1:19" ht="24" customHeight="1" x14ac:dyDescent="0.25">
      <c r="A130" s="8">
        <v>121</v>
      </c>
      <c r="C130" s="9" t="s">
        <v>157</v>
      </c>
      <c r="D130" s="17" t="s">
        <v>353</v>
      </c>
      <c r="E130" s="10"/>
      <c r="F130" s="10"/>
      <c r="G130" s="62"/>
      <c r="H130" s="62"/>
      <c r="I130" s="62"/>
      <c r="J130" s="62"/>
      <c r="K130" s="62"/>
      <c r="L130" s="63" t="str">
        <f t="shared" si="12"/>
        <v>-</v>
      </c>
      <c r="M130" s="64"/>
      <c r="N130" s="64"/>
      <c r="O130" s="64"/>
      <c r="P130" s="64"/>
      <c r="Q130" s="64"/>
      <c r="R130" s="63">
        <f t="shared" si="13"/>
        <v>0</v>
      </c>
      <c r="S130" s="9" t="str">
        <f>IFERROR(INDEX(#REF!,MATCH(MIN(G130:K130),G130:K130,0)),"-")</f>
        <v>-</v>
      </c>
    </row>
    <row r="131" spans="1:19" ht="24" customHeight="1" x14ac:dyDescent="0.25">
      <c r="A131" s="8">
        <v>122</v>
      </c>
      <c r="C131" s="9" t="s">
        <v>158</v>
      </c>
      <c r="D131" s="17" t="s">
        <v>354</v>
      </c>
      <c r="E131" s="10"/>
      <c r="F131" s="10"/>
      <c r="G131" s="62"/>
      <c r="H131" s="62"/>
      <c r="I131" s="62"/>
      <c r="J131" s="62"/>
      <c r="K131" s="62"/>
      <c r="L131" s="63" t="str">
        <f t="shared" si="12"/>
        <v>-</v>
      </c>
      <c r="M131" s="64"/>
      <c r="N131" s="64"/>
      <c r="O131" s="64"/>
      <c r="P131" s="64"/>
      <c r="Q131" s="64"/>
      <c r="R131" s="63">
        <f t="shared" si="13"/>
        <v>0</v>
      </c>
      <c r="S131" s="9" t="str">
        <f>IFERROR(INDEX(#REF!,MATCH(MIN(G131:K131),G131:K131,0)),"-")</f>
        <v>-</v>
      </c>
    </row>
    <row r="132" spans="1:19" ht="24" customHeight="1" x14ac:dyDescent="0.25">
      <c r="A132" s="8">
        <v>123</v>
      </c>
      <c r="C132" s="9" t="s">
        <v>159</v>
      </c>
      <c r="D132" s="17" t="s">
        <v>355</v>
      </c>
      <c r="E132" s="10"/>
      <c r="F132" s="10"/>
      <c r="G132" s="62"/>
      <c r="H132" s="62"/>
      <c r="I132" s="62"/>
      <c r="J132" s="62"/>
      <c r="K132" s="62"/>
      <c r="L132" s="63" t="str">
        <f t="shared" si="12"/>
        <v>-</v>
      </c>
      <c r="M132" s="64"/>
      <c r="N132" s="64"/>
      <c r="O132" s="64"/>
      <c r="P132" s="64"/>
      <c r="Q132" s="64"/>
      <c r="R132" s="63">
        <f t="shared" si="13"/>
        <v>0</v>
      </c>
      <c r="S132" s="9" t="str">
        <f>IFERROR(INDEX(#REF!,MATCH(MIN(G132:K132),G132:K132,0)),"-")</f>
        <v>-</v>
      </c>
    </row>
    <row r="133" spans="1:19" ht="24" customHeight="1" x14ac:dyDescent="0.25">
      <c r="A133" s="8">
        <v>124</v>
      </c>
      <c r="C133" s="9" t="s">
        <v>160</v>
      </c>
      <c r="D133" s="17" t="s">
        <v>356</v>
      </c>
      <c r="E133" s="10"/>
      <c r="F133" s="10"/>
      <c r="G133" s="62"/>
      <c r="H133" s="62"/>
      <c r="I133" s="62"/>
      <c r="J133" s="62"/>
      <c r="K133" s="62"/>
      <c r="L133" s="63" t="str">
        <f t="shared" si="12"/>
        <v>-</v>
      </c>
      <c r="M133" s="64"/>
      <c r="N133" s="64"/>
      <c r="O133" s="64"/>
      <c r="P133" s="64"/>
      <c r="Q133" s="64"/>
      <c r="R133" s="63">
        <f t="shared" si="13"/>
        <v>0</v>
      </c>
      <c r="S133" s="9" t="str">
        <f>IFERROR(INDEX(#REF!,MATCH(MIN(G133:K133),G133:K133,0)),"-")</f>
        <v>-</v>
      </c>
    </row>
    <row r="134" spans="1:19" ht="24" customHeight="1" x14ac:dyDescent="0.25">
      <c r="A134" s="8">
        <v>125</v>
      </c>
      <c r="C134" s="9" t="s">
        <v>161</v>
      </c>
      <c r="D134" s="17" t="s">
        <v>357</v>
      </c>
      <c r="E134" s="10"/>
      <c r="F134" s="10"/>
      <c r="G134" s="62"/>
      <c r="H134" s="62"/>
      <c r="I134" s="62"/>
      <c r="J134" s="62"/>
      <c r="K134" s="62"/>
      <c r="L134" s="63" t="str">
        <f t="shared" si="12"/>
        <v>-</v>
      </c>
      <c r="M134" s="64"/>
      <c r="N134" s="64"/>
      <c r="O134" s="64"/>
      <c r="P134" s="64"/>
      <c r="Q134" s="64"/>
      <c r="R134" s="63">
        <f t="shared" si="13"/>
        <v>0</v>
      </c>
      <c r="S134" s="9" t="str">
        <f>IFERROR(INDEX(#REF!,MATCH(MIN(G134:K134),G134:K134,0)),"-")</f>
        <v>-</v>
      </c>
    </row>
    <row r="135" spans="1:19" ht="24" customHeight="1" x14ac:dyDescent="0.25">
      <c r="A135" s="8">
        <v>126</v>
      </c>
      <c r="C135" s="9" t="s">
        <v>162</v>
      </c>
      <c r="D135" s="17" t="s">
        <v>358</v>
      </c>
      <c r="E135" s="10"/>
      <c r="F135" s="10"/>
      <c r="G135" s="62"/>
      <c r="H135" s="62"/>
      <c r="I135" s="62"/>
      <c r="J135" s="62"/>
      <c r="K135" s="62"/>
      <c r="L135" s="63" t="str">
        <f t="shared" si="12"/>
        <v>-</v>
      </c>
      <c r="M135" s="64"/>
      <c r="N135" s="64"/>
      <c r="O135" s="64"/>
      <c r="P135" s="64"/>
      <c r="Q135" s="64"/>
      <c r="R135" s="63">
        <f t="shared" si="13"/>
        <v>0</v>
      </c>
      <c r="S135" s="9" t="str">
        <f>IFERROR(INDEX(#REF!,MATCH(MIN(G135:K135),G135:K135,0)),"-")</f>
        <v>-</v>
      </c>
    </row>
    <row r="136" spans="1:19" ht="24" customHeight="1" x14ac:dyDescent="0.25">
      <c r="A136" s="8">
        <v>127</v>
      </c>
      <c r="C136" s="9" t="s">
        <v>163</v>
      </c>
      <c r="D136" s="17" t="s">
        <v>359</v>
      </c>
      <c r="E136" s="10"/>
      <c r="F136" s="10"/>
      <c r="G136" s="62"/>
      <c r="H136" s="62"/>
      <c r="I136" s="62"/>
      <c r="J136" s="62"/>
      <c r="K136" s="62"/>
      <c r="L136" s="63" t="str">
        <f t="shared" si="12"/>
        <v>-</v>
      </c>
      <c r="M136" s="64"/>
      <c r="N136" s="64"/>
      <c r="O136" s="64"/>
      <c r="P136" s="64"/>
      <c r="Q136" s="64"/>
      <c r="R136" s="63">
        <f t="shared" si="13"/>
        <v>0</v>
      </c>
      <c r="S136" s="9" t="str">
        <f>IFERROR(INDEX(#REF!,MATCH(MIN(G136:K136),G136:K136,0)),"-")</f>
        <v>-</v>
      </c>
    </row>
    <row r="137" spans="1:19" ht="24" customHeight="1" x14ac:dyDescent="0.25">
      <c r="A137" s="8">
        <v>128</v>
      </c>
      <c r="C137" s="9" t="s">
        <v>164</v>
      </c>
      <c r="D137" s="17" t="s">
        <v>360</v>
      </c>
      <c r="E137" s="10"/>
      <c r="F137" s="10"/>
      <c r="G137" s="62"/>
      <c r="H137" s="62"/>
      <c r="I137" s="62"/>
      <c r="J137" s="62"/>
      <c r="K137" s="62"/>
      <c r="L137" s="63" t="str">
        <f t="shared" si="12"/>
        <v>-</v>
      </c>
      <c r="M137" s="64"/>
      <c r="N137" s="64"/>
      <c r="O137" s="64"/>
      <c r="P137" s="64"/>
      <c r="Q137" s="64"/>
      <c r="R137" s="63">
        <f t="shared" si="13"/>
        <v>0</v>
      </c>
      <c r="S137" s="9" t="str">
        <f>IFERROR(INDEX(#REF!,MATCH(MIN(G137:K137),G137:K137,0)),"-")</f>
        <v>-</v>
      </c>
    </row>
    <row r="138" spans="1:19" ht="24" customHeight="1" x14ac:dyDescent="0.25">
      <c r="A138" s="8">
        <v>129</v>
      </c>
      <c r="C138" s="9" t="s">
        <v>165</v>
      </c>
      <c r="D138" s="17" t="s">
        <v>361</v>
      </c>
      <c r="E138" s="10"/>
      <c r="F138" s="10"/>
      <c r="G138" s="62"/>
      <c r="H138" s="62"/>
      <c r="I138" s="62"/>
      <c r="J138" s="62"/>
      <c r="K138" s="62"/>
      <c r="L138" s="63" t="str">
        <f t="shared" si="12"/>
        <v>-</v>
      </c>
      <c r="M138" s="64"/>
      <c r="N138" s="64"/>
      <c r="O138" s="64"/>
      <c r="P138" s="64"/>
      <c r="Q138" s="64"/>
      <c r="R138" s="63">
        <f t="shared" si="13"/>
        <v>0</v>
      </c>
      <c r="S138" s="9" t="str">
        <f>IFERROR(INDEX(#REF!,MATCH(MIN(G138:K138),G138:K138,0)),"-")</f>
        <v>-</v>
      </c>
    </row>
    <row r="139" spans="1:19" ht="24" customHeight="1" x14ac:dyDescent="0.25">
      <c r="A139" s="8">
        <v>130</v>
      </c>
      <c r="C139" s="9" t="s">
        <v>166</v>
      </c>
      <c r="D139" s="17" t="s">
        <v>362</v>
      </c>
      <c r="E139" s="10"/>
      <c r="F139" s="10"/>
      <c r="G139" s="62"/>
      <c r="H139" s="62"/>
      <c r="I139" s="62"/>
      <c r="J139" s="62"/>
      <c r="K139" s="62"/>
      <c r="L139" s="63" t="str">
        <f t="shared" si="12"/>
        <v>-</v>
      </c>
      <c r="M139" s="64"/>
      <c r="N139" s="64"/>
      <c r="O139" s="64"/>
      <c r="P139" s="64"/>
      <c r="Q139" s="64"/>
      <c r="R139" s="63">
        <f t="shared" si="13"/>
        <v>0</v>
      </c>
      <c r="S139" s="9" t="str">
        <f>IFERROR(INDEX(#REF!,MATCH(MIN(G139:K139),G139:K139,0)),"-")</f>
        <v>-</v>
      </c>
    </row>
    <row r="140" spans="1:19" ht="24" customHeight="1" x14ac:dyDescent="0.25">
      <c r="A140" s="8">
        <v>131</v>
      </c>
      <c r="C140" s="9" t="s">
        <v>167</v>
      </c>
      <c r="D140" s="17" t="s">
        <v>363</v>
      </c>
      <c r="E140" s="10"/>
      <c r="F140" s="10"/>
      <c r="G140" s="62"/>
      <c r="H140" s="62"/>
      <c r="I140" s="62"/>
      <c r="J140" s="62"/>
      <c r="K140" s="62"/>
      <c r="L140" s="63" t="str">
        <f t="shared" si="12"/>
        <v>-</v>
      </c>
      <c r="M140" s="64"/>
      <c r="N140" s="64"/>
      <c r="O140" s="64"/>
      <c r="P140" s="64"/>
      <c r="Q140" s="64"/>
      <c r="R140" s="63">
        <f t="shared" si="13"/>
        <v>0</v>
      </c>
      <c r="S140" s="9" t="str">
        <f>IFERROR(INDEX(#REF!,MATCH(MIN(G140:K140),G140:K140,0)),"-")</f>
        <v>-</v>
      </c>
    </row>
    <row r="141" spans="1:19" ht="24" customHeight="1" x14ac:dyDescent="0.25">
      <c r="A141" s="8">
        <v>132</v>
      </c>
      <c r="C141" s="9" t="s">
        <v>168</v>
      </c>
      <c r="D141" s="17" t="s">
        <v>364</v>
      </c>
      <c r="E141" s="10"/>
      <c r="F141" s="10"/>
      <c r="G141" s="62"/>
      <c r="H141" s="62"/>
      <c r="I141" s="62"/>
      <c r="J141" s="62"/>
      <c r="K141" s="62"/>
      <c r="L141" s="63" t="str">
        <f t="shared" si="12"/>
        <v>-</v>
      </c>
      <c r="M141" s="64"/>
      <c r="N141" s="64"/>
      <c r="O141" s="64"/>
      <c r="P141" s="64"/>
      <c r="Q141" s="64"/>
      <c r="R141" s="63">
        <f t="shared" si="13"/>
        <v>0</v>
      </c>
      <c r="S141" s="9" t="str">
        <f>IFERROR(INDEX(#REF!,MATCH(MIN(G141:K141),G141:K141,0)),"-")</f>
        <v>-</v>
      </c>
    </row>
    <row r="142" spans="1:19" ht="24" customHeight="1" x14ac:dyDescent="0.25">
      <c r="A142" s="8">
        <v>133</v>
      </c>
      <c r="C142" s="9" t="s">
        <v>169</v>
      </c>
      <c r="D142" s="17" t="s">
        <v>365</v>
      </c>
      <c r="E142" s="10"/>
      <c r="F142" s="10"/>
      <c r="G142" s="62"/>
      <c r="H142" s="62"/>
      <c r="I142" s="62"/>
      <c r="J142" s="62"/>
      <c r="K142" s="62"/>
      <c r="L142" s="63" t="str">
        <f t="shared" si="12"/>
        <v>-</v>
      </c>
      <c r="M142" s="64"/>
      <c r="N142" s="64"/>
      <c r="O142" s="64"/>
      <c r="P142" s="64"/>
      <c r="Q142" s="64"/>
      <c r="R142" s="63">
        <f t="shared" si="13"/>
        <v>0</v>
      </c>
      <c r="S142" s="9" t="str">
        <f>IFERROR(INDEX(#REF!,MATCH(MIN(G142:K142),G142:K142,0)),"-")</f>
        <v>-</v>
      </c>
    </row>
    <row r="143" spans="1:19" ht="24" customHeight="1" x14ac:dyDescent="0.25">
      <c r="A143" s="8">
        <v>134</v>
      </c>
      <c r="C143" s="9" t="s">
        <v>170</v>
      </c>
      <c r="D143" s="17" t="s">
        <v>366</v>
      </c>
      <c r="E143" s="10"/>
      <c r="F143" s="10"/>
      <c r="G143" s="62"/>
      <c r="H143" s="62"/>
      <c r="I143" s="62"/>
      <c r="J143" s="62"/>
      <c r="K143" s="62"/>
      <c r="L143" s="63" t="str">
        <f t="shared" si="12"/>
        <v>-</v>
      </c>
      <c r="M143" s="64"/>
      <c r="N143" s="64"/>
      <c r="O143" s="64"/>
      <c r="P143" s="64"/>
      <c r="Q143" s="64"/>
      <c r="R143" s="63">
        <f t="shared" si="13"/>
        <v>0</v>
      </c>
      <c r="S143" s="9" t="str">
        <f>IFERROR(INDEX(#REF!,MATCH(MIN(G143:K143),G143:K143,0)),"-")</f>
        <v>-</v>
      </c>
    </row>
    <row r="144" spans="1:19" ht="24" customHeight="1" x14ac:dyDescent="0.25">
      <c r="A144" s="8">
        <v>135</v>
      </c>
      <c r="C144" s="9" t="s">
        <v>171</v>
      </c>
      <c r="D144" s="17" t="s">
        <v>367</v>
      </c>
      <c r="E144" s="10"/>
      <c r="F144" s="10"/>
      <c r="G144" s="62"/>
      <c r="H144" s="62"/>
      <c r="I144" s="62"/>
      <c r="J144" s="62"/>
      <c r="K144" s="62"/>
      <c r="L144" s="63" t="str">
        <f t="shared" si="12"/>
        <v>-</v>
      </c>
      <c r="M144" s="64"/>
      <c r="N144" s="64"/>
      <c r="O144" s="64"/>
      <c r="P144" s="64"/>
      <c r="Q144" s="64"/>
      <c r="R144" s="63">
        <f t="shared" si="13"/>
        <v>0</v>
      </c>
      <c r="S144" s="9" t="str">
        <f>IFERROR(INDEX(#REF!,MATCH(MIN(G144:K144),G144:K144,0)),"-")</f>
        <v>-</v>
      </c>
    </row>
    <row r="145" spans="1:19" ht="24" customHeight="1" x14ac:dyDescent="0.25">
      <c r="A145" s="8">
        <v>136</v>
      </c>
      <c r="C145" s="9" t="s">
        <v>172</v>
      </c>
      <c r="D145" s="17" t="s">
        <v>368</v>
      </c>
      <c r="E145" s="10"/>
      <c r="F145" s="10"/>
      <c r="G145" s="62"/>
      <c r="H145" s="62"/>
      <c r="I145" s="62"/>
      <c r="J145" s="62"/>
      <c r="K145" s="62"/>
      <c r="L145" s="63" t="str">
        <f t="shared" si="12"/>
        <v>-</v>
      </c>
      <c r="M145" s="64"/>
      <c r="N145" s="64"/>
      <c r="O145" s="64"/>
      <c r="P145" s="64"/>
      <c r="Q145" s="64"/>
      <c r="R145" s="63">
        <f t="shared" si="13"/>
        <v>0</v>
      </c>
      <c r="S145" s="9" t="str">
        <f>IFERROR(INDEX(#REF!,MATCH(MIN(G145:K145),G145:K145,0)),"-")</f>
        <v>-</v>
      </c>
    </row>
    <row r="146" spans="1:19" ht="24" customHeight="1" x14ac:dyDescent="0.25">
      <c r="A146" s="8">
        <v>137</v>
      </c>
      <c r="C146" s="9" t="s">
        <v>173</v>
      </c>
      <c r="D146" s="17" t="s">
        <v>369</v>
      </c>
      <c r="E146" s="10"/>
      <c r="F146" s="10"/>
      <c r="G146" s="62"/>
      <c r="H146" s="62"/>
      <c r="I146" s="62"/>
      <c r="J146" s="62"/>
      <c r="K146" s="62"/>
      <c r="L146" s="63" t="str">
        <f t="shared" si="12"/>
        <v>-</v>
      </c>
      <c r="M146" s="64"/>
      <c r="N146" s="64"/>
      <c r="O146" s="64"/>
      <c r="P146" s="64"/>
      <c r="Q146" s="64"/>
      <c r="R146" s="63">
        <f t="shared" si="13"/>
        <v>0</v>
      </c>
      <c r="S146" s="9" t="str">
        <f>IFERROR(INDEX(#REF!,MATCH(MIN(G146:K146),G146:K146,0)),"-")</f>
        <v>-</v>
      </c>
    </row>
    <row r="147" spans="1:19" ht="24" customHeight="1" x14ac:dyDescent="0.25">
      <c r="A147" s="8">
        <v>138</v>
      </c>
      <c r="C147" s="9" t="s">
        <v>174</v>
      </c>
      <c r="D147" s="17" t="s">
        <v>370</v>
      </c>
      <c r="E147" s="10"/>
      <c r="F147" s="10"/>
      <c r="G147" s="62"/>
      <c r="H147" s="62"/>
      <c r="I147" s="62"/>
      <c r="J147" s="62"/>
      <c r="K147" s="62"/>
      <c r="L147" s="63" t="str">
        <f t="shared" si="12"/>
        <v>-</v>
      </c>
      <c r="M147" s="64"/>
      <c r="N147" s="64"/>
      <c r="O147" s="64"/>
      <c r="P147" s="64"/>
      <c r="Q147" s="64"/>
      <c r="R147" s="63">
        <f t="shared" si="13"/>
        <v>0</v>
      </c>
      <c r="S147" s="9" t="str">
        <f>IFERROR(INDEX(#REF!,MATCH(MIN(G147:K147),G147:K147,0)),"-")</f>
        <v>-</v>
      </c>
    </row>
    <row r="148" spans="1:19" ht="24" customHeight="1" x14ac:dyDescent="0.25">
      <c r="A148" s="8">
        <v>139</v>
      </c>
      <c r="C148" s="9" t="s">
        <v>175</v>
      </c>
      <c r="D148" s="17" t="s">
        <v>371</v>
      </c>
      <c r="E148" s="10"/>
      <c r="F148" s="10"/>
      <c r="G148" s="62"/>
      <c r="H148" s="62"/>
      <c r="I148" s="62"/>
      <c r="J148" s="62"/>
      <c r="K148" s="62"/>
      <c r="L148" s="63" t="str">
        <f t="shared" si="12"/>
        <v>-</v>
      </c>
      <c r="M148" s="64"/>
      <c r="N148" s="64"/>
      <c r="O148" s="64"/>
      <c r="P148" s="64"/>
      <c r="Q148" s="64"/>
      <c r="R148" s="63">
        <f t="shared" si="13"/>
        <v>0</v>
      </c>
      <c r="S148" s="9" t="str">
        <f>IFERROR(INDEX(#REF!,MATCH(MIN(G148:K148),G148:K148,0)),"-")</f>
        <v>-</v>
      </c>
    </row>
    <row r="149" spans="1:19" ht="24" customHeight="1" x14ac:dyDescent="0.25">
      <c r="A149" s="8">
        <v>140</v>
      </c>
      <c r="C149" s="9" t="s">
        <v>176</v>
      </c>
      <c r="D149" s="17" t="s">
        <v>372</v>
      </c>
      <c r="E149" s="10"/>
      <c r="F149" s="10"/>
      <c r="G149" s="62"/>
      <c r="H149" s="62"/>
      <c r="I149" s="62"/>
      <c r="J149" s="62"/>
      <c r="K149" s="62"/>
      <c r="L149" s="63" t="str">
        <f t="shared" si="12"/>
        <v>-</v>
      </c>
      <c r="M149" s="64"/>
      <c r="N149" s="64"/>
      <c r="O149" s="64"/>
      <c r="P149" s="64"/>
      <c r="Q149" s="64"/>
      <c r="R149" s="63">
        <f t="shared" si="13"/>
        <v>0</v>
      </c>
      <c r="S149" s="9" t="str">
        <f>IFERROR(INDEX(#REF!,MATCH(MIN(G149:K149),G149:K149,0)),"-")</f>
        <v>-</v>
      </c>
    </row>
    <row r="150" spans="1:19" ht="24" customHeight="1" x14ac:dyDescent="0.25">
      <c r="A150" s="8">
        <v>141</v>
      </c>
      <c r="C150" s="9" t="s">
        <v>177</v>
      </c>
      <c r="D150" s="17" t="s">
        <v>373</v>
      </c>
      <c r="E150" s="10"/>
      <c r="F150" s="10"/>
      <c r="G150" s="62"/>
      <c r="H150" s="62"/>
      <c r="I150" s="62"/>
      <c r="J150" s="62"/>
      <c r="K150" s="62"/>
      <c r="L150" s="63" t="str">
        <f t="shared" si="12"/>
        <v>-</v>
      </c>
      <c r="M150" s="64"/>
      <c r="N150" s="64"/>
      <c r="O150" s="64"/>
      <c r="P150" s="64"/>
      <c r="Q150" s="64"/>
      <c r="R150" s="63">
        <f t="shared" si="13"/>
        <v>0</v>
      </c>
      <c r="S150" s="9" t="str">
        <f>IFERROR(INDEX(#REF!,MATCH(MIN(G150:K150),G150:K150,0)),"-")</f>
        <v>-</v>
      </c>
    </row>
    <row r="151" spans="1:19" ht="24" customHeight="1" x14ac:dyDescent="0.25">
      <c r="A151" s="8">
        <v>142</v>
      </c>
      <c r="C151" s="9" t="s">
        <v>178</v>
      </c>
      <c r="D151" s="17" t="s">
        <v>374</v>
      </c>
      <c r="E151" s="10"/>
      <c r="F151" s="10"/>
      <c r="G151" s="62"/>
      <c r="H151" s="62"/>
      <c r="I151" s="62"/>
      <c r="J151" s="62"/>
      <c r="K151" s="62"/>
      <c r="L151" s="63" t="str">
        <f t="shared" ref="L151:L204" si="14">IFERROR(AVERAGEIF(G151:K151,"&gt;0"),"-")</f>
        <v>-</v>
      </c>
      <c r="M151" s="64"/>
      <c r="N151" s="64"/>
      <c r="O151" s="64"/>
      <c r="P151" s="64"/>
      <c r="Q151" s="64"/>
      <c r="R151" s="63">
        <f t="shared" ref="R151:R204" si="15">IFERROR(MIN(G151:K151),"-")</f>
        <v>0</v>
      </c>
      <c r="S151" s="9" t="str">
        <f>IFERROR(INDEX(#REF!,MATCH(MIN(G151:K151),G151:K151,0)),"-")</f>
        <v>-</v>
      </c>
    </row>
    <row r="152" spans="1:19" ht="24" customHeight="1" x14ac:dyDescent="0.25">
      <c r="A152" s="8">
        <v>143</v>
      </c>
      <c r="C152" s="9" t="s">
        <v>179</v>
      </c>
      <c r="D152" s="17" t="s">
        <v>375</v>
      </c>
      <c r="E152" s="10"/>
      <c r="F152" s="10"/>
      <c r="G152" s="62"/>
      <c r="H152" s="62"/>
      <c r="I152" s="62"/>
      <c r="J152" s="62"/>
      <c r="K152" s="62"/>
      <c r="L152" s="63" t="str">
        <f t="shared" si="14"/>
        <v>-</v>
      </c>
      <c r="M152" s="64"/>
      <c r="N152" s="64"/>
      <c r="O152" s="64"/>
      <c r="P152" s="64"/>
      <c r="Q152" s="64"/>
      <c r="R152" s="63">
        <f t="shared" si="15"/>
        <v>0</v>
      </c>
      <c r="S152" s="9" t="str">
        <f>IFERROR(INDEX(#REF!,MATCH(MIN(G152:K152),G152:K152,0)),"-")</f>
        <v>-</v>
      </c>
    </row>
    <row r="153" spans="1:19" ht="24" customHeight="1" x14ac:dyDescent="0.25">
      <c r="A153" s="8">
        <v>144</v>
      </c>
      <c r="C153" s="9" t="s">
        <v>180</v>
      </c>
      <c r="D153" s="17" t="s">
        <v>376</v>
      </c>
      <c r="E153" s="10"/>
      <c r="F153" s="10"/>
      <c r="G153" s="62"/>
      <c r="H153" s="62"/>
      <c r="I153" s="62"/>
      <c r="J153" s="62"/>
      <c r="K153" s="62"/>
      <c r="L153" s="63" t="str">
        <f t="shared" si="14"/>
        <v>-</v>
      </c>
      <c r="M153" s="64"/>
      <c r="N153" s="64"/>
      <c r="O153" s="64"/>
      <c r="P153" s="64"/>
      <c r="Q153" s="64"/>
      <c r="R153" s="63">
        <f t="shared" si="15"/>
        <v>0</v>
      </c>
      <c r="S153" s="9" t="str">
        <f>IFERROR(INDEX(#REF!,MATCH(MIN(G153:K153),G153:K153,0)),"-")</f>
        <v>-</v>
      </c>
    </row>
    <row r="154" spans="1:19" ht="24" customHeight="1" x14ac:dyDescent="0.25">
      <c r="A154" s="8">
        <v>145</v>
      </c>
      <c r="C154" s="9" t="s">
        <v>181</v>
      </c>
      <c r="D154" s="17" t="s">
        <v>377</v>
      </c>
      <c r="E154" s="10"/>
      <c r="F154" s="10"/>
      <c r="G154" s="62"/>
      <c r="H154" s="62"/>
      <c r="I154" s="62"/>
      <c r="J154" s="62"/>
      <c r="K154" s="62"/>
      <c r="L154" s="63" t="str">
        <f t="shared" si="14"/>
        <v>-</v>
      </c>
      <c r="M154" s="64"/>
      <c r="N154" s="64"/>
      <c r="O154" s="64"/>
      <c r="P154" s="64"/>
      <c r="Q154" s="64"/>
      <c r="R154" s="63">
        <f t="shared" si="15"/>
        <v>0</v>
      </c>
      <c r="S154" s="9" t="str">
        <f>IFERROR(INDEX(#REF!,MATCH(MIN(G154:K154),G154:K154,0)),"-")</f>
        <v>-</v>
      </c>
    </row>
    <row r="155" spans="1:19" ht="24" customHeight="1" x14ac:dyDescent="0.25">
      <c r="A155" s="8">
        <v>146</v>
      </c>
      <c r="C155" s="9" t="s">
        <v>182</v>
      </c>
      <c r="D155" s="17" t="s">
        <v>378</v>
      </c>
      <c r="E155" s="10"/>
      <c r="F155" s="10"/>
      <c r="G155" s="62"/>
      <c r="H155" s="62"/>
      <c r="I155" s="62"/>
      <c r="J155" s="62"/>
      <c r="K155" s="62"/>
      <c r="L155" s="63" t="str">
        <f t="shared" si="14"/>
        <v>-</v>
      </c>
      <c r="M155" s="64"/>
      <c r="N155" s="64"/>
      <c r="O155" s="64"/>
      <c r="P155" s="64"/>
      <c r="Q155" s="64"/>
      <c r="R155" s="63">
        <f t="shared" si="15"/>
        <v>0</v>
      </c>
      <c r="S155" s="9" t="str">
        <f>IFERROR(INDEX(#REF!,MATCH(MIN(G155:K155),G155:K155,0)),"-")</f>
        <v>-</v>
      </c>
    </row>
    <row r="156" spans="1:19" ht="24" customHeight="1" x14ac:dyDescent="0.25">
      <c r="A156" s="8">
        <v>147</v>
      </c>
      <c r="C156" s="9" t="s">
        <v>183</v>
      </c>
      <c r="D156" s="17" t="s">
        <v>379</v>
      </c>
      <c r="E156" s="10"/>
      <c r="F156" s="10"/>
      <c r="G156" s="62"/>
      <c r="H156" s="62"/>
      <c r="I156" s="62"/>
      <c r="J156" s="62"/>
      <c r="K156" s="62"/>
      <c r="L156" s="63" t="str">
        <f t="shared" si="14"/>
        <v>-</v>
      </c>
      <c r="M156" s="64"/>
      <c r="N156" s="64"/>
      <c r="O156" s="64"/>
      <c r="P156" s="64"/>
      <c r="Q156" s="64"/>
      <c r="R156" s="63">
        <f t="shared" si="15"/>
        <v>0</v>
      </c>
      <c r="S156" s="9" t="str">
        <f>IFERROR(INDEX(#REF!,MATCH(MIN(G156:K156),G156:K156,0)),"-")</f>
        <v>-</v>
      </c>
    </row>
    <row r="157" spans="1:19" ht="24" customHeight="1" x14ac:dyDescent="0.25">
      <c r="A157" s="8">
        <v>148</v>
      </c>
      <c r="C157" s="9" t="s">
        <v>184</v>
      </c>
      <c r="D157" s="17" t="s">
        <v>380</v>
      </c>
      <c r="E157" s="10"/>
      <c r="F157" s="10"/>
      <c r="G157" s="62"/>
      <c r="H157" s="62"/>
      <c r="I157" s="62"/>
      <c r="J157" s="62"/>
      <c r="K157" s="62"/>
      <c r="L157" s="63" t="str">
        <f t="shared" si="14"/>
        <v>-</v>
      </c>
      <c r="M157" s="64"/>
      <c r="N157" s="64"/>
      <c r="O157" s="64"/>
      <c r="P157" s="64"/>
      <c r="Q157" s="64"/>
      <c r="R157" s="63">
        <f t="shared" si="15"/>
        <v>0</v>
      </c>
      <c r="S157" s="9" t="str">
        <f>IFERROR(INDEX(#REF!,MATCH(MIN(G157:K157),G157:K157,0)),"-")</f>
        <v>-</v>
      </c>
    </row>
    <row r="158" spans="1:19" ht="24" customHeight="1" x14ac:dyDescent="0.25">
      <c r="A158" s="8">
        <v>149</v>
      </c>
      <c r="C158" s="9" t="s">
        <v>185</v>
      </c>
      <c r="D158" s="17" t="s">
        <v>381</v>
      </c>
      <c r="E158" s="10"/>
      <c r="F158" s="10"/>
      <c r="G158" s="62"/>
      <c r="H158" s="62"/>
      <c r="I158" s="62"/>
      <c r="J158" s="62"/>
      <c r="K158" s="62"/>
      <c r="L158" s="63" t="str">
        <f t="shared" si="14"/>
        <v>-</v>
      </c>
      <c r="M158" s="64"/>
      <c r="N158" s="64"/>
      <c r="O158" s="64"/>
      <c r="P158" s="64"/>
      <c r="Q158" s="64"/>
      <c r="R158" s="63">
        <f t="shared" si="15"/>
        <v>0</v>
      </c>
      <c r="S158" s="9" t="str">
        <f>IFERROR(INDEX(#REF!,MATCH(MIN(G158:K158),G158:K158,0)),"-")</f>
        <v>-</v>
      </c>
    </row>
    <row r="159" spans="1:19" ht="24" customHeight="1" x14ac:dyDescent="0.25">
      <c r="A159" s="8">
        <v>150</v>
      </c>
      <c r="C159" s="9" t="s">
        <v>186</v>
      </c>
      <c r="D159" s="17" t="s">
        <v>382</v>
      </c>
      <c r="E159" s="10"/>
      <c r="F159" s="10"/>
      <c r="G159" s="62"/>
      <c r="H159" s="62"/>
      <c r="I159" s="62"/>
      <c r="J159" s="62"/>
      <c r="K159" s="62"/>
      <c r="L159" s="63" t="str">
        <f t="shared" si="14"/>
        <v>-</v>
      </c>
      <c r="M159" s="64"/>
      <c r="N159" s="64"/>
      <c r="O159" s="64"/>
      <c r="P159" s="64"/>
      <c r="Q159" s="64"/>
      <c r="R159" s="63">
        <f t="shared" si="15"/>
        <v>0</v>
      </c>
      <c r="S159" s="9" t="str">
        <f>IFERROR(INDEX(#REF!,MATCH(MIN(G159:K159),G159:K159,0)),"-")</f>
        <v>-</v>
      </c>
    </row>
    <row r="160" spans="1:19" ht="24" customHeight="1" x14ac:dyDescent="0.25">
      <c r="A160" s="8">
        <v>151</v>
      </c>
      <c r="C160" s="9" t="s">
        <v>187</v>
      </c>
      <c r="D160" s="17" t="s">
        <v>383</v>
      </c>
      <c r="E160" s="10"/>
      <c r="F160" s="10"/>
      <c r="G160" s="62"/>
      <c r="H160" s="62"/>
      <c r="I160" s="62"/>
      <c r="J160" s="62"/>
      <c r="K160" s="62"/>
      <c r="L160" s="63" t="str">
        <f t="shared" si="14"/>
        <v>-</v>
      </c>
      <c r="M160" s="64"/>
      <c r="N160" s="64"/>
      <c r="O160" s="64"/>
      <c r="P160" s="64"/>
      <c r="Q160" s="64"/>
      <c r="R160" s="63">
        <f t="shared" si="15"/>
        <v>0</v>
      </c>
      <c r="S160" s="9" t="str">
        <f>IFERROR(INDEX(#REF!,MATCH(MIN(G160:K160),G160:K160,0)),"-")</f>
        <v>-</v>
      </c>
    </row>
    <row r="161" spans="1:19" ht="24" customHeight="1" x14ac:dyDescent="0.25">
      <c r="A161" s="8">
        <v>152</v>
      </c>
      <c r="C161" s="9" t="s">
        <v>188</v>
      </c>
      <c r="D161" s="17" t="s">
        <v>384</v>
      </c>
      <c r="E161" s="10"/>
      <c r="F161" s="10"/>
      <c r="G161" s="62"/>
      <c r="H161" s="62"/>
      <c r="I161" s="62"/>
      <c r="J161" s="62"/>
      <c r="K161" s="62"/>
      <c r="L161" s="63" t="str">
        <f t="shared" si="14"/>
        <v>-</v>
      </c>
      <c r="M161" s="64"/>
      <c r="N161" s="64"/>
      <c r="O161" s="64"/>
      <c r="P161" s="64"/>
      <c r="Q161" s="64"/>
      <c r="R161" s="63">
        <f t="shared" si="15"/>
        <v>0</v>
      </c>
      <c r="S161" s="9" t="str">
        <f>IFERROR(INDEX(#REF!,MATCH(MIN(G161:K161),G161:K161,0)),"-")</f>
        <v>-</v>
      </c>
    </row>
    <row r="162" spans="1:19" ht="24" customHeight="1" x14ac:dyDescent="0.25">
      <c r="A162" s="8">
        <v>153</v>
      </c>
      <c r="C162" s="9" t="s">
        <v>189</v>
      </c>
      <c r="D162" s="17" t="s">
        <v>385</v>
      </c>
      <c r="E162" s="10"/>
      <c r="F162" s="10"/>
      <c r="G162" s="62"/>
      <c r="H162" s="62"/>
      <c r="I162" s="62"/>
      <c r="J162" s="62"/>
      <c r="K162" s="62"/>
      <c r="L162" s="63" t="str">
        <f t="shared" si="14"/>
        <v>-</v>
      </c>
      <c r="M162" s="64"/>
      <c r="N162" s="64"/>
      <c r="O162" s="64"/>
      <c r="P162" s="64"/>
      <c r="Q162" s="64"/>
      <c r="R162" s="63">
        <f t="shared" si="15"/>
        <v>0</v>
      </c>
      <c r="S162" s="9" t="str">
        <f>IFERROR(INDEX(#REF!,MATCH(MIN(G162:K162),G162:K162,0)),"-")</f>
        <v>-</v>
      </c>
    </row>
    <row r="163" spans="1:19" ht="24" customHeight="1" x14ac:dyDescent="0.25">
      <c r="A163" s="8">
        <v>154</v>
      </c>
      <c r="C163" s="9" t="s">
        <v>190</v>
      </c>
      <c r="D163" s="17" t="s">
        <v>386</v>
      </c>
      <c r="E163" s="10"/>
      <c r="F163" s="10"/>
      <c r="G163" s="62"/>
      <c r="H163" s="62"/>
      <c r="I163" s="62"/>
      <c r="J163" s="62"/>
      <c r="K163" s="62"/>
      <c r="L163" s="63" t="str">
        <f t="shared" si="14"/>
        <v>-</v>
      </c>
      <c r="M163" s="64"/>
      <c r="N163" s="64"/>
      <c r="O163" s="64"/>
      <c r="P163" s="64"/>
      <c r="Q163" s="64"/>
      <c r="R163" s="63">
        <f t="shared" si="15"/>
        <v>0</v>
      </c>
      <c r="S163" s="9" t="str">
        <f>IFERROR(INDEX(#REF!,MATCH(MIN(G163:K163),G163:K163,0)),"-")</f>
        <v>-</v>
      </c>
    </row>
    <row r="164" spans="1:19" ht="24" customHeight="1" x14ac:dyDescent="0.25">
      <c r="A164" s="8">
        <v>155</v>
      </c>
      <c r="C164" s="9" t="s">
        <v>191</v>
      </c>
      <c r="D164" s="17" t="s">
        <v>387</v>
      </c>
      <c r="E164" s="10"/>
      <c r="F164" s="10"/>
      <c r="G164" s="62"/>
      <c r="H164" s="62"/>
      <c r="I164" s="62"/>
      <c r="J164" s="62"/>
      <c r="K164" s="62"/>
      <c r="L164" s="63" t="str">
        <f t="shared" si="14"/>
        <v>-</v>
      </c>
      <c r="M164" s="64"/>
      <c r="N164" s="64"/>
      <c r="O164" s="64"/>
      <c r="P164" s="64"/>
      <c r="Q164" s="64"/>
      <c r="R164" s="63">
        <f t="shared" si="15"/>
        <v>0</v>
      </c>
      <c r="S164" s="9" t="str">
        <f>IFERROR(INDEX(#REF!,MATCH(MIN(G164:K164),G164:K164,0)),"-")</f>
        <v>-</v>
      </c>
    </row>
    <row r="165" spans="1:19" ht="24" customHeight="1" x14ac:dyDescent="0.25">
      <c r="A165" s="8">
        <v>156</v>
      </c>
      <c r="C165" s="9" t="s">
        <v>192</v>
      </c>
      <c r="D165" s="17" t="s">
        <v>388</v>
      </c>
      <c r="E165" s="10"/>
      <c r="F165" s="10"/>
      <c r="G165" s="62"/>
      <c r="H165" s="62"/>
      <c r="I165" s="62"/>
      <c r="J165" s="62"/>
      <c r="K165" s="62"/>
      <c r="L165" s="63" t="str">
        <f t="shared" si="14"/>
        <v>-</v>
      </c>
      <c r="M165" s="64"/>
      <c r="N165" s="64"/>
      <c r="O165" s="64"/>
      <c r="P165" s="64"/>
      <c r="Q165" s="64"/>
      <c r="R165" s="63">
        <f t="shared" si="15"/>
        <v>0</v>
      </c>
      <c r="S165" s="9" t="str">
        <f>IFERROR(INDEX(#REF!,MATCH(MIN(G165:K165),G165:K165,0)),"-")</f>
        <v>-</v>
      </c>
    </row>
    <row r="166" spans="1:19" ht="24" customHeight="1" x14ac:dyDescent="0.25">
      <c r="A166" s="8">
        <v>157</v>
      </c>
      <c r="C166" s="9" t="s">
        <v>193</v>
      </c>
      <c r="D166" s="17" t="s">
        <v>389</v>
      </c>
      <c r="E166" s="10"/>
      <c r="F166" s="10"/>
      <c r="G166" s="62"/>
      <c r="H166" s="62"/>
      <c r="I166" s="62"/>
      <c r="J166" s="62"/>
      <c r="K166" s="62"/>
      <c r="L166" s="63" t="str">
        <f t="shared" si="14"/>
        <v>-</v>
      </c>
      <c r="M166" s="64"/>
      <c r="N166" s="64"/>
      <c r="O166" s="64"/>
      <c r="P166" s="64"/>
      <c r="Q166" s="64"/>
      <c r="R166" s="63">
        <f t="shared" si="15"/>
        <v>0</v>
      </c>
      <c r="S166" s="9" t="str">
        <f>IFERROR(INDEX(#REF!,MATCH(MIN(G166:K166),G166:K166,0)),"-")</f>
        <v>-</v>
      </c>
    </row>
    <row r="167" spans="1:19" ht="24" customHeight="1" x14ac:dyDescent="0.25">
      <c r="A167" s="8">
        <v>158</v>
      </c>
      <c r="C167" s="9" t="s">
        <v>194</v>
      </c>
      <c r="D167" s="17" t="s">
        <v>390</v>
      </c>
      <c r="E167" s="10"/>
      <c r="F167" s="10"/>
      <c r="G167" s="62"/>
      <c r="H167" s="62"/>
      <c r="I167" s="62"/>
      <c r="J167" s="62"/>
      <c r="K167" s="62"/>
      <c r="L167" s="63" t="str">
        <f t="shared" si="14"/>
        <v>-</v>
      </c>
      <c r="M167" s="64"/>
      <c r="N167" s="64"/>
      <c r="O167" s="64"/>
      <c r="P167" s="64"/>
      <c r="Q167" s="64"/>
      <c r="R167" s="63">
        <f t="shared" si="15"/>
        <v>0</v>
      </c>
      <c r="S167" s="9" t="str">
        <f>IFERROR(INDEX(#REF!,MATCH(MIN(G167:K167),G167:K167,0)),"-")</f>
        <v>-</v>
      </c>
    </row>
    <row r="168" spans="1:19" ht="24" customHeight="1" x14ac:dyDescent="0.25">
      <c r="A168" s="8">
        <v>159</v>
      </c>
      <c r="C168" s="9" t="s">
        <v>195</v>
      </c>
      <c r="D168" s="17" t="s">
        <v>391</v>
      </c>
      <c r="E168" s="10"/>
      <c r="F168" s="10"/>
      <c r="G168" s="62"/>
      <c r="H168" s="62"/>
      <c r="I168" s="62"/>
      <c r="J168" s="62"/>
      <c r="K168" s="62"/>
      <c r="L168" s="63" t="str">
        <f t="shared" si="14"/>
        <v>-</v>
      </c>
      <c r="M168" s="64"/>
      <c r="N168" s="64"/>
      <c r="O168" s="64"/>
      <c r="P168" s="64"/>
      <c r="Q168" s="64"/>
      <c r="R168" s="63">
        <f t="shared" si="15"/>
        <v>0</v>
      </c>
      <c r="S168" s="9" t="str">
        <f>IFERROR(INDEX(#REF!,MATCH(MIN(G168:K168),G168:K168,0)),"-")</f>
        <v>-</v>
      </c>
    </row>
    <row r="169" spans="1:19" ht="24" customHeight="1" x14ac:dyDescent="0.25">
      <c r="A169" s="8">
        <v>160</v>
      </c>
      <c r="C169" s="9" t="s">
        <v>196</v>
      </c>
      <c r="D169" s="17" t="s">
        <v>392</v>
      </c>
      <c r="E169" s="10"/>
      <c r="F169" s="10"/>
      <c r="G169" s="62"/>
      <c r="H169" s="62"/>
      <c r="I169" s="62"/>
      <c r="J169" s="62"/>
      <c r="K169" s="62"/>
      <c r="L169" s="63" t="str">
        <f t="shared" si="14"/>
        <v>-</v>
      </c>
      <c r="M169" s="64"/>
      <c r="N169" s="64"/>
      <c r="O169" s="64"/>
      <c r="P169" s="64"/>
      <c r="Q169" s="64"/>
      <c r="R169" s="63">
        <f t="shared" si="15"/>
        <v>0</v>
      </c>
      <c r="S169" s="9" t="str">
        <f>IFERROR(INDEX(#REF!,MATCH(MIN(G169:K169),G169:K169,0)),"-")</f>
        <v>-</v>
      </c>
    </row>
    <row r="170" spans="1:19" ht="24" customHeight="1" x14ac:dyDescent="0.25">
      <c r="A170" s="8">
        <v>161</v>
      </c>
      <c r="C170" s="9" t="s">
        <v>197</v>
      </c>
      <c r="D170" s="17" t="s">
        <v>393</v>
      </c>
      <c r="E170" s="10"/>
      <c r="F170" s="10"/>
      <c r="G170" s="62"/>
      <c r="H170" s="62"/>
      <c r="I170" s="62"/>
      <c r="J170" s="62"/>
      <c r="K170" s="62"/>
      <c r="L170" s="63" t="str">
        <f t="shared" si="14"/>
        <v>-</v>
      </c>
      <c r="M170" s="64"/>
      <c r="N170" s="64"/>
      <c r="O170" s="64"/>
      <c r="P170" s="64"/>
      <c r="Q170" s="64"/>
      <c r="R170" s="63">
        <f t="shared" si="15"/>
        <v>0</v>
      </c>
      <c r="S170" s="9" t="str">
        <f>IFERROR(INDEX(#REF!,MATCH(MIN(G170:K170),G170:K170,0)),"-")</f>
        <v>-</v>
      </c>
    </row>
    <row r="171" spans="1:19" ht="24" customHeight="1" x14ac:dyDescent="0.25">
      <c r="A171" s="8">
        <v>162</v>
      </c>
      <c r="C171" s="9" t="s">
        <v>198</v>
      </c>
      <c r="D171" s="17" t="s">
        <v>394</v>
      </c>
      <c r="E171" s="10"/>
      <c r="F171" s="10"/>
      <c r="G171" s="62"/>
      <c r="H171" s="62"/>
      <c r="I171" s="62"/>
      <c r="J171" s="62"/>
      <c r="K171" s="62"/>
      <c r="L171" s="63" t="str">
        <f t="shared" si="14"/>
        <v>-</v>
      </c>
      <c r="M171" s="64"/>
      <c r="N171" s="64"/>
      <c r="O171" s="64"/>
      <c r="P171" s="64"/>
      <c r="Q171" s="64"/>
      <c r="R171" s="63">
        <f t="shared" si="15"/>
        <v>0</v>
      </c>
      <c r="S171" s="9" t="str">
        <f>IFERROR(INDEX(#REF!,MATCH(MIN(G171:K171),G171:K171,0)),"-")</f>
        <v>-</v>
      </c>
    </row>
    <row r="172" spans="1:19" ht="24" customHeight="1" x14ac:dyDescent="0.25">
      <c r="A172" s="8">
        <v>163</v>
      </c>
      <c r="C172" s="9" t="s">
        <v>199</v>
      </c>
      <c r="D172" s="17" t="s">
        <v>395</v>
      </c>
      <c r="E172" s="10"/>
      <c r="F172" s="10"/>
      <c r="G172" s="62"/>
      <c r="H172" s="62"/>
      <c r="I172" s="62"/>
      <c r="J172" s="62"/>
      <c r="K172" s="62"/>
      <c r="L172" s="63" t="str">
        <f t="shared" si="14"/>
        <v>-</v>
      </c>
      <c r="M172" s="64"/>
      <c r="N172" s="64"/>
      <c r="O172" s="64"/>
      <c r="P172" s="64"/>
      <c r="Q172" s="64"/>
      <c r="R172" s="63">
        <f t="shared" si="15"/>
        <v>0</v>
      </c>
      <c r="S172" s="9" t="str">
        <f>IFERROR(INDEX(#REF!,MATCH(MIN(G172:K172),G172:K172,0)),"-")</f>
        <v>-</v>
      </c>
    </row>
    <row r="173" spans="1:19" ht="24" customHeight="1" x14ac:dyDescent="0.25">
      <c r="A173" s="8">
        <v>164</v>
      </c>
      <c r="C173" s="9" t="s">
        <v>200</v>
      </c>
      <c r="D173" s="17" t="s">
        <v>396</v>
      </c>
      <c r="E173" s="10"/>
      <c r="F173" s="10"/>
      <c r="G173" s="62"/>
      <c r="H173" s="62"/>
      <c r="I173" s="62"/>
      <c r="J173" s="62"/>
      <c r="K173" s="62"/>
      <c r="L173" s="63" t="str">
        <f t="shared" si="14"/>
        <v>-</v>
      </c>
      <c r="M173" s="64"/>
      <c r="N173" s="64"/>
      <c r="O173" s="64"/>
      <c r="P173" s="64"/>
      <c r="Q173" s="64"/>
      <c r="R173" s="63">
        <f t="shared" si="15"/>
        <v>0</v>
      </c>
      <c r="S173" s="9" t="str">
        <f>IFERROR(INDEX(#REF!,MATCH(MIN(G173:K173),G173:K173,0)),"-")</f>
        <v>-</v>
      </c>
    </row>
    <row r="174" spans="1:19" ht="24" customHeight="1" x14ac:dyDescent="0.25">
      <c r="A174" s="8">
        <v>165</v>
      </c>
      <c r="C174" s="9" t="s">
        <v>201</v>
      </c>
      <c r="D174" s="17" t="s">
        <v>397</v>
      </c>
      <c r="E174" s="10"/>
      <c r="F174" s="10"/>
      <c r="G174" s="62"/>
      <c r="H174" s="62"/>
      <c r="I174" s="62"/>
      <c r="J174" s="62"/>
      <c r="K174" s="62"/>
      <c r="L174" s="63" t="str">
        <f t="shared" si="14"/>
        <v>-</v>
      </c>
      <c r="M174" s="64"/>
      <c r="N174" s="64"/>
      <c r="O174" s="64"/>
      <c r="P174" s="64"/>
      <c r="Q174" s="64"/>
      <c r="R174" s="63">
        <f t="shared" si="15"/>
        <v>0</v>
      </c>
      <c r="S174" s="9" t="str">
        <f>IFERROR(INDEX(#REF!,MATCH(MIN(G174:K174),G174:K174,0)),"-")</f>
        <v>-</v>
      </c>
    </row>
    <row r="175" spans="1:19" ht="24" customHeight="1" x14ac:dyDescent="0.25">
      <c r="A175" s="8">
        <v>166</v>
      </c>
      <c r="C175" s="9" t="s">
        <v>202</v>
      </c>
      <c r="D175" s="17" t="s">
        <v>399</v>
      </c>
      <c r="E175" s="10"/>
      <c r="F175" s="10"/>
      <c r="G175" s="62"/>
      <c r="H175" s="62"/>
      <c r="I175" s="62"/>
      <c r="J175" s="62"/>
      <c r="K175" s="62"/>
      <c r="L175" s="63" t="str">
        <f t="shared" si="14"/>
        <v>-</v>
      </c>
      <c r="M175" s="64"/>
      <c r="N175" s="64"/>
      <c r="O175" s="64"/>
      <c r="P175" s="64"/>
      <c r="Q175" s="64"/>
      <c r="R175" s="63">
        <f t="shared" si="15"/>
        <v>0</v>
      </c>
      <c r="S175" s="9" t="str">
        <f>IFERROR(INDEX(#REF!,MATCH(MIN(G175:K175),G175:K175,0)),"-")</f>
        <v>-</v>
      </c>
    </row>
    <row r="176" spans="1:19" ht="24" customHeight="1" x14ac:dyDescent="0.25">
      <c r="A176" s="8">
        <v>167</v>
      </c>
      <c r="C176" s="9" t="s">
        <v>203</v>
      </c>
      <c r="D176" s="17" t="s">
        <v>400</v>
      </c>
      <c r="E176" s="10"/>
      <c r="F176" s="10"/>
      <c r="G176" s="62"/>
      <c r="H176" s="62"/>
      <c r="I176" s="62"/>
      <c r="J176" s="62"/>
      <c r="K176" s="62"/>
      <c r="L176" s="63" t="str">
        <f t="shared" si="14"/>
        <v>-</v>
      </c>
      <c r="M176" s="64"/>
      <c r="N176" s="64"/>
      <c r="O176" s="64"/>
      <c r="P176" s="64"/>
      <c r="Q176" s="64"/>
      <c r="R176" s="63">
        <f t="shared" si="15"/>
        <v>0</v>
      </c>
      <c r="S176" s="9" t="str">
        <f>IFERROR(INDEX(#REF!,MATCH(MIN(G176:K176),G176:K176,0)),"-")</f>
        <v>-</v>
      </c>
    </row>
    <row r="177" spans="1:19" ht="24" customHeight="1" x14ac:dyDescent="0.25">
      <c r="A177" s="8">
        <v>168</v>
      </c>
      <c r="C177" s="9" t="s">
        <v>204</v>
      </c>
      <c r="D177" s="17"/>
      <c r="E177" s="10"/>
      <c r="F177" s="10"/>
      <c r="G177" s="62"/>
      <c r="H177" s="62"/>
      <c r="I177" s="62"/>
      <c r="J177" s="62"/>
      <c r="K177" s="62"/>
      <c r="L177" s="63" t="str">
        <f t="shared" si="14"/>
        <v>-</v>
      </c>
      <c r="M177" s="64"/>
      <c r="N177" s="64"/>
      <c r="O177" s="64"/>
      <c r="P177" s="64"/>
      <c r="Q177" s="64"/>
      <c r="R177" s="63">
        <f t="shared" si="15"/>
        <v>0</v>
      </c>
      <c r="S177" s="9" t="str">
        <f>IFERROR(INDEX(#REF!,MATCH(MIN(G177:K177),G177:K177,0)),"-")</f>
        <v>-</v>
      </c>
    </row>
    <row r="178" spans="1:19" ht="24" customHeight="1" x14ac:dyDescent="0.25">
      <c r="A178" s="8">
        <v>169</v>
      </c>
      <c r="C178" s="9" t="s">
        <v>205</v>
      </c>
      <c r="D178" s="17"/>
      <c r="E178" s="10"/>
      <c r="F178" s="10"/>
      <c r="G178" s="62"/>
      <c r="H178" s="62"/>
      <c r="I178" s="62"/>
      <c r="J178" s="62"/>
      <c r="K178" s="62"/>
      <c r="L178" s="63" t="str">
        <f t="shared" si="14"/>
        <v>-</v>
      </c>
      <c r="M178" s="64"/>
      <c r="N178" s="64"/>
      <c r="O178" s="64"/>
      <c r="P178" s="64"/>
      <c r="Q178" s="64"/>
      <c r="R178" s="63">
        <f t="shared" si="15"/>
        <v>0</v>
      </c>
      <c r="S178" s="9" t="str">
        <f>IFERROR(INDEX(#REF!,MATCH(MIN(G178:K178),G178:K178,0)),"-")</f>
        <v>-</v>
      </c>
    </row>
    <row r="179" spans="1:19" ht="24" customHeight="1" x14ac:dyDescent="0.25">
      <c r="A179" s="8">
        <v>170</v>
      </c>
      <c r="C179" s="9" t="s">
        <v>206</v>
      </c>
      <c r="D179" s="17"/>
      <c r="E179" s="10"/>
      <c r="F179" s="10"/>
      <c r="G179" s="62"/>
      <c r="H179" s="62"/>
      <c r="I179" s="62"/>
      <c r="J179" s="62"/>
      <c r="K179" s="62"/>
      <c r="L179" s="63" t="str">
        <f t="shared" si="14"/>
        <v>-</v>
      </c>
      <c r="M179" s="64"/>
      <c r="N179" s="64"/>
      <c r="O179" s="64"/>
      <c r="P179" s="64"/>
      <c r="Q179" s="64"/>
      <c r="R179" s="63">
        <f t="shared" si="15"/>
        <v>0</v>
      </c>
      <c r="S179" s="9" t="str">
        <f>IFERROR(INDEX(#REF!,MATCH(MIN(G179:K179),G179:K179,0)),"-")</f>
        <v>-</v>
      </c>
    </row>
    <row r="180" spans="1:19" ht="24" customHeight="1" x14ac:dyDescent="0.25">
      <c r="A180" s="8">
        <v>171</v>
      </c>
      <c r="C180" s="9" t="s">
        <v>207</v>
      </c>
      <c r="D180" s="17"/>
      <c r="E180" s="10"/>
      <c r="F180" s="10"/>
      <c r="G180" s="62"/>
      <c r="H180" s="62"/>
      <c r="I180" s="62"/>
      <c r="J180" s="62"/>
      <c r="K180" s="62"/>
      <c r="L180" s="63" t="str">
        <f t="shared" si="14"/>
        <v>-</v>
      </c>
      <c r="M180" s="64"/>
      <c r="N180" s="64"/>
      <c r="O180" s="64"/>
      <c r="P180" s="64"/>
      <c r="Q180" s="64"/>
      <c r="R180" s="63">
        <f t="shared" si="15"/>
        <v>0</v>
      </c>
      <c r="S180" s="9" t="str">
        <f>IFERROR(INDEX(#REF!,MATCH(MIN(G180:K180),G180:K180,0)),"-")</f>
        <v>-</v>
      </c>
    </row>
    <row r="181" spans="1:19" ht="24" customHeight="1" x14ac:dyDescent="0.25">
      <c r="A181" s="8"/>
      <c r="C181" s="9" t="s">
        <v>208</v>
      </c>
      <c r="D181" s="21"/>
      <c r="E181" s="10"/>
      <c r="F181" s="10"/>
      <c r="G181" s="62"/>
      <c r="H181" s="62"/>
      <c r="I181" s="62"/>
      <c r="J181" s="62"/>
      <c r="K181" s="62"/>
      <c r="L181" s="63"/>
      <c r="M181" s="64"/>
      <c r="N181" s="64"/>
      <c r="O181" s="64"/>
      <c r="P181" s="64"/>
      <c r="Q181" s="64"/>
      <c r="R181" s="63"/>
      <c r="S181" s="9"/>
    </row>
    <row r="182" spans="1:19" ht="24" customHeight="1" x14ac:dyDescent="0.25">
      <c r="A182" s="8"/>
      <c r="C182" s="9" t="s">
        <v>209</v>
      </c>
      <c r="D182" s="21"/>
      <c r="E182" s="10"/>
      <c r="F182" s="10"/>
      <c r="G182" s="62"/>
      <c r="H182" s="62"/>
      <c r="I182" s="62"/>
      <c r="J182" s="62"/>
      <c r="K182" s="62"/>
      <c r="L182" s="63"/>
      <c r="M182" s="64"/>
      <c r="N182" s="64"/>
      <c r="O182" s="64"/>
      <c r="P182" s="64"/>
      <c r="Q182" s="64"/>
      <c r="R182" s="63"/>
      <c r="S182" s="9"/>
    </row>
    <row r="183" spans="1:19" ht="24" customHeight="1" x14ac:dyDescent="0.25">
      <c r="A183" s="8"/>
      <c r="C183" s="9" t="s">
        <v>210</v>
      </c>
      <c r="D183" s="21"/>
      <c r="E183" s="10"/>
      <c r="F183" s="10"/>
      <c r="G183" s="62"/>
      <c r="H183" s="62"/>
      <c r="I183" s="62"/>
      <c r="J183" s="62"/>
      <c r="K183" s="62"/>
      <c r="L183" s="63"/>
      <c r="M183" s="64"/>
      <c r="N183" s="64"/>
      <c r="O183" s="64"/>
      <c r="P183" s="64"/>
      <c r="Q183" s="64"/>
      <c r="R183" s="63"/>
      <c r="S183" s="9"/>
    </row>
    <row r="184" spans="1:19" ht="24" customHeight="1" x14ac:dyDescent="0.25">
      <c r="A184" s="8"/>
      <c r="C184" s="9" t="s">
        <v>211</v>
      </c>
      <c r="D184" s="21"/>
      <c r="E184" s="10"/>
      <c r="F184" s="10"/>
      <c r="G184" s="62"/>
      <c r="H184" s="62"/>
      <c r="I184" s="62"/>
      <c r="J184" s="62"/>
      <c r="K184" s="62"/>
      <c r="L184" s="63"/>
      <c r="M184" s="64"/>
      <c r="N184" s="64"/>
      <c r="O184" s="64"/>
      <c r="P184" s="64"/>
      <c r="Q184" s="64"/>
      <c r="R184" s="63"/>
      <c r="S184" s="9"/>
    </row>
    <row r="185" spans="1:19" ht="24" customHeight="1" x14ac:dyDescent="0.25">
      <c r="A185" s="8"/>
      <c r="C185" s="9" t="s">
        <v>212</v>
      </c>
      <c r="D185" s="21"/>
      <c r="E185" s="10"/>
      <c r="F185" s="10"/>
      <c r="G185" s="62"/>
      <c r="H185" s="62"/>
      <c r="I185" s="62"/>
      <c r="J185" s="62"/>
      <c r="K185" s="62"/>
      <c r="L185" s="63"/>
      <c r="M185" s="64"/>
      <c r="N185" s="64"/>
      <c r="O185" s="64"/>
      <c r="P185" s="64"/>
      <c r="Q185" s="64"/>
      <c r="R185" s="63"/>
      <c r="S185" s="9"/>
    </row>
    <row r="186" spans="1:19" ht="24" customHeight="1" x14ac:dyDescent="0.25">
      <c r="A186" s="8"/>
      <c r="C186" s="9" t="s">
        <v>213</v>
      </c>
      <c r="D186" s="21"/>
      <c r="E186" s="10"/>
      <c r="F186" s="10"/>
      <c r="G186" s="62"/>
      <c r="H186" s="62"/>
      <c r="I186" s="62"/>
      <c r="J186" s="62"/>
      <c r="K186" s="62"/>
      <c r="L186" s="63"/>
      <c r="M186" s="64"/>
      <c r="N186" s="64"/>
      <c r="O186" s="64"/>
      <c r="P186" s="64"/>
      <c r="Q186" s="64"/>
      <c r="R186" s="63"/>
      <c r="S186" s="9"/>
    </row>
    <row r="187" spans="1:19" ht="24" customHeight="1" x14ac:dyDescent="0.25">
      <c r="A187" s="8"/>
      <c r="C187" s="9" t="s">
        <v>214</v>
      </c>
      <c r="D187" s="21"/>
      <c r="E187" s="10"/>
      <c r="F187" s="10"/>
      <c r="G187" s="62"/>
      <c r="H187" s="62"/>
      <c r="I187" s="62"/>
      <c r="J187" s="62"/>
      <c r="K187" s="62"/>
      <c r="L187" s="63"/>
      <c r="M187" s="64"/>
      <c r="N187" s="64"/>
      <c r="O187" s="64"/>
      <c r="P187" s="64"/>
      <c r="Q187" s="64"/>
      <c r="R187" s="63"/>
      <c r="S187" s="9"/>
    </row>
    <row r="188" spans="1:19" ht="24" customHeight="1" x14ac:dyDescent="0.25">
      <c r="A188" s="8"/>
      <c r="C188" s="9" t="s">
        <v>215</v>
      </c>
      <c r="D188" s="21"/>
      <c r="E188" s="10"/>
      <c r="F188" s="10"/>
      <c r="G188" s="62"/>
      <c r="H188" s="62"/>
      <c r="I188" s="62"/>
      <c r="J188" s="62"/>
      <c r="K188" s="62"/>
      <c r="L188" s="63"/>
      <c r="M188" s="64"/>
      <c r="N188" s="64"/>
      <c r="O188" s="64"/>
      <c r="P188" s="64"/>
      <c r="Q188" s="64"/>
      <c r="R188" s="63"/>
      <c r="S188" s="9"/>
    </row>
    <row r="189" spans="1:19" ht="24" customHeight="1" x14ac:dyDescent="0.25">
      <c r="A189" s="8"/>
      <c r="C189" s="9" t="s">
        <v>216</v>
      </c>
      <c r="D189" s="21"/>
      <c r="E189" s="10"/>
      <c r="F189" s="10"/>
      <c r="G189" s="62"/>
      <c r="H189" s="62"/>
      <c r="I189" s="62"/>
      <c r="J189" s="62"/>
      <c r="K189" s="62"/>
      <c r="L189" s="63"/>
      <c r="M189" s="64"/>
      <c r="N189" s="64"/>
      <c r="O189" s="64"/>
      <c r="P189" s="64"/>
      <c r="Q189" s="64"/>
      <c r="R189" s="63"/>
      <c r="S189" s="9"/>
    </row>
    <row r="190" spans="1:19" ht="24" customHeight="1" x14ac:dyDescent="0.25">
      <c r="A190" s="8">
        <v>172</v>
      </c>
      <c r="C190" s="9" t="s">
        <v>217</v>
      </c>
      <c r="D190" s="21"/>
      <c r="E190" s="10"/>
      <c r="F190" s="10"/>
      <c r="G190" s="62"/>
      <c r="H190" s="62"/>
      <c r="I190" s="62"/>
      <c r="J190" s="62"/>
      <c r="K190" s="62"/>
      <c r="L190" s="63" t="str">
        <f t="shared" ref="L190" si="16">IFERROR(AVERAGEIF(G190:K190,"&gt;0"),"-")</f>
        <v>-</v>
      </c>
      <c r="M190" s="64"/>
      <c r="N190" s="64"/>
      <c r="O190" s="64"/>
      <c r="P190" s="64"/>
      <c r="Q190" s="64"/>
      <c r="R190" s="63">
        <f t="shared" ref="R190" si="17">IFERROR(MIN(G190:K190),"-")</f>
        <v>0</v>
      </c>
      <c r="S190" s="9" t="str">
        <f>IFERROR(INDEX(#REF!,MATCH(MIN(G190:K190),G190:K190,0)),"-")</f>
        <v>-</v>
      </c>
    </row>
    <row r="191" spans="1:19" ht="24" customHeight="1" x14ac:dyDescent="0.25">
      <c r="A191" s="8">
        <v>172</v>
      </c>
      <c r="C191" s="9" t="s">
        <v>218</v>
      </c>
      <c r="D191" s="21"/>
      <c r="E191" s="10"/>
      <c r="F191" s="10"/>
      <c r="G191" s="62"/>
      <c r="H191" s="62"/>
      <c r="I191" s="62"/>
      <c r="J191" s="62"/>
      <c r="K191" s="62"/>
      <c r="L191" s="63" t="str">
        <f t="shared" si="14"/>
        <v>-</v>
      </c>
      <c r="M191" s="64"/>
      <c r="N191" s="64"/>
      <c r="O191" s="64"/>
      <c r="P191" s="64"/>
      <c r="Q191" s="64"/>
      <c r="R191" s="63">
        <f t="shared" si="15"/>
        <v>0</v>
      </c>
      <c r="S191" s="9" t="str">
        <f>IFERROR(INDEX(#REF!,MATCH(MIN(G191:K191),G191:K191,0)),"-")</f>
        <v>-</v>
      </c>
    </row>
    <row r="192" spans="1:19" ht="24" customHeight="1" x14ac:dyDescent="0.25">
      <c r="A192" s="8">
        <v>173</v>
      </c>
      <c r="C192" s="9" t="s">
        <v>219</v>
      </c>
      <c r="D192" s="21"/>
      <c r="E192" s="10"/>
      <c r="F192" s="10"/>
      <c r="G192" s="62"/>
      <c r="H192" s="62"/>
      <c r="I192" s="62"/>
      <c r="J192" s="62"/>
      <c r="K192" s="62"/>
      <c r="L192" s="63" t="str">
        <f t="shared" si="14"/>
        <v>-</v>
      </c>
      <c r="M192" s="64"/>
      <c r="N192" s="64"/>
      <c r="O192" s="64"/>
      <c r="P192" s="64"/>
      <c r="Q192" s="64"/>
      <c r="R192" s="63">
        <f t="shared" si="15"/>
        <v>0</v>
      </c>
      <c r="S192" s="9" t="str">
        <f>IFERROR(INDEX(#REF!,MATCH(MIN(G192:K192),G192:K192,0)),"-")</f>
        <v>-</v>
      </c>
    </row>
    <row r="193" spans="1:19" ht="24" customHeight="1" x14ac:dyDescent="0.25">
      <c r="A193" s="8">
        <v>174</v>
      </c>
      <c r="C193" s="9" t="s">
        <v>220</v>
      </c>
      <c r="D193" s="21"/>
      <c r="E193" s="10"/>
      <c r="F193" s="10"/>
      <c r="G193" s="62"/>
      <c r="H193" s="62"/>
      <c r="I193" s="62"/>
      <c r="J193" s="62"/>
      <c r="K193" s="62"/>
      <c r="L193" s="63" t="str">
        <f t="shared" si="14"/>
        <v>-</v>
      </c>
      <c r="M193" s="64"/>
      <c r="N193" s="64"/>
      <c r="O193" s="64"/>
      <c r="P193" s="64"/>
      <c r="Q193" s="64"/>
      <c r="R193" s="63">
        <f t="shared" si="15"/>
        <v>0</v>
      </c>
      <c r="S193" s="9" t="str">
        <f>IFERROR(INDEX(#REF!,MATCH(MIN(G193:K193),G193:K193,0)),"-")</f>
        <v>-</v>
      </c>
    </row>
    <row r="194" spans="1:19" ht="24" customHeight="1" x14ac:dyDescent="0.25">
      <c r="A194" s="8">
        <v>175</v>
      </c>
      <c r="C194" s="9" t="s">
        <v>221</v>
      </c>
      <c r="D194" s="21"/>
      <c r="E194" s="10"/>
      <c r="F194" s="10"/>
      <c r="G194" s="62"/>
      <c r="H194" s="62"/>
      <c r="I194" s="62"/>
      <c r="J194" s="62"/>
      <c r="K194" s="62"/>
      <c r="L194" s="63" t="str">
        <f t="shared" si="14"/>
        <v>-</v>
      </c>
      <c r="M194" s="64"/>
      <c r="N194" s="64"/>
      <c r="O194" s="64"/>
      <c r="P194" s="64"/>
      <c r="Q194" s="64"/>
      <c r="R194" s="63">
        <f t="shared" si="15"/>
        <v>0</v>
      </c>
      <c r="S194" s="9" t="str">
        <f>IFERROR(INDEX(#REF!,MATCH(MIN(G194:K194),G194:K194,0)),"-")</f>
        <v>-</v>
      </c>
    </row>
    <row r="195" spans="1:19" ht="24" customHeight="1" x14ac:dyDescent="0.25">
      <c r="A195" s="8">
        <v>176</v>
      </c>
      <c r="C195" s="9" t="s">
        <v>222</v>
      </c>
      <c r="D195" s="21"/>
      <c r="E195" s="10"/>
      <c r="F195" s="10"/>
      <c r="G195" s="62"/>
      <c r="H195" s="62"/>
      <c r="I195" s="62"/>
      <c r="J195" s="62"/>
      <c r="K195" s="62"/>
      <c r="L195" s="63" t="str">
        <f t="shared" si="14"/>
        <v>-</v>
      </c>
      <c r="M195" s="64"/>
      <c r="N195" s="64"/>
      <c r="O195" s="64"/>
      <c r="P195" s="64"/>
      <c r="Q195" s="64"/>
      <c r="R195" s="63">
        <f t="shared" si="15"/>
        <v>0</v>
      </c>
      <c r="S195" s="9" t="str">
        <f>IFERROR(INDEX(#REF!,MATCH(MIN(G195:K195),G195:K195,0)),"-")</f>
        <v>-</v>
      </c>
    </row>
    <row r="196" spans="1:19" ht="24" customHeight="1" x14ac:dyDescent="0.25">
      <c r="A196" s="8">
        <v>177</v>
      </c>
      <c r="C196" s="9" t="s">
        <v>223</v>
      </c>
      <c r="D196" s="21"/>
      <c r="E196" s="10"/>
      <c r="F196" s="10"/>
      <c r="G196" s="62"/>
      <c r="H196" s="62"/>
      <c r="I196" s="62"/>
      <c r="J196" s="62"/>
      <c r="K196" s="62"/>
      <c r="L196" s="63" t="str">
        <f t="shared" si="14"/>
        <v>-</v>
      </c>
      <c r="M196" s="64"/>
      <c r="N196" s="64"/>
      <c r="O196" s="64"/>
      <c r="P196" s="64"/>
      <c r="Q196" s="64"/>
      <c r="R196" s="63">
        <f t="shared" si="15"/>
        <v>0</v>
      </c>
      <c r="S196" s="9" t="str">
        <f>IFERROR(INDEX(#REF!,MATCH(MIN(G196:K196),G196:K196,0)),"-")</f>
        <v>-</v>
      </c>
    </row>
    <row r="197" spans="1:19" ht="24" customHeight="1" x14ac:dyDescent="0.25">
      <c r="A197" s="8">
        <v>178</v>
      </c>
      <c r="C197" s="9" t="s">
        <v>224</v>
      </c>
      <c r="D197" s="17"/>
      <c r="E197" s="10"/>
      <c r="F197" s="10"/>
      <c r="G197" s="62"/>
      <c r="H197" s="62"/>
      <c r="I197" s="62"/>
      <c r="J197" s="62"/>
      <c r="K197" s="62"/>
      <c r="L197" s="63" t="str">
        <f t="shared" si="14"/>
        <v>-</v>
      </c>
      <c r="M197" s="64"/>
      <c r="N197" s="64"/>
      <c r="O197" s="64"/>
      <c r="P197" s="64"/>
      <c r="Q197" s="64"/>
      <c r="R197" s="63">
        <f t="shared" si="15"/>
        <v>0</v>
      </c>
      <c r="S197" s="9" t="str">
        <f>IFERROR(INDEX(#REF!,MATCH(MIN(G197:K197),G197:K197,0)),"-")</f>
        <v>-</v>
      </c>
    </row>
    <row r="198" spans="1:19" ht="24" customHeight="1" x14ac:dyDescent="0.25">
      <c r="A198" s="8">
        <v>179</v>
      </c>
      <c r="C198" s="9" t="s">
        <v>225</v>
      </c>
      <c r="D198" s="17"/>
      <c r="E198" s="10"/>
      <c r="F198" s="10"/>
      <c r="G198" s="62"/>
      <c r="H198" s="62"/>
      <c r="I198" s="62"/>
      <c r="J198" s="62"/>
      <c r="K198" s="62"/>
      <c r="L198" s="63" t="str">
        <f t="shared" si="14"/>
        <v>-</v>
      </c>
      <c r="M198" s="64"/>
      <c r="N198" s="64"/>
      <c r="O198" s="64"/>
      <c r="P198" s="64"/>
      <c r="Q198" s="64"/>
      <c r="R198" s="63">
        <f t="shared" si="15"/>
        <v>0</v>
      </c>
      <c r="S198" s="9" t="str">
        <f>IFERROR(INDEX(#REF!,MATCH(MIN(G198:K198),G198:K198,0)),"-")</f>
        <v>-</v>
      </c>
    </row>
    <row r="199" spans="1:19" ht="24" customHeight="1" x14ac:dyDescent="0.25">
      <c r="A199" s="8">
        <v>180</v>
      </c>
      <c r="C199" s="9" t="s">
        <v>226</v>
      </c>
      <c r="D199" s="17"/>
      <c r="E199" s="10"/>
      <c r="F199" s="10"/>
      <c r="G199" s="62"/>
      <c r="H199" s="62"/>
      <c r="I199" s="62"/>
      <c r="J199" s="62"/>
      <c r="K199" s="62"/>
      <c r="L199" s="63" t="str">
        <f t="shared" si="14"/>
        <v>-</v>
      </c>
      <c r="M199" s="64"/>
      <c r="N199" s="64"/>
      <c r="O199" s="64"/>
      <c r="P199" s="64"/>
      <c r="Q199" s="64"/>
      <c r="R199" s="63">
        <f t="shared" si="15"/>
        <v>0</v>
      </c>
      <c r="S199" s="9" t="str">
        <f>IFERROR(INDEX(#REF!,MATCH(MIN(G199:K199),G199:K199,0)),"-")</f>
        <v>-</v>
      </c>
    </row>
    <row r="200" spans="1:19" ht="24" customHeight="1" x14ac:dyDescent="0.25">
      <c r="A200" s="8">
        <v>181</v>
      </c>
      <c r="C200" s="9" t="s">
        <v>227</v>
      </c>
      <c r="D200" s="17"/>
      <c r="E200" s="10"/>
      <c r="F200" s="10"/>
      <c r="G200" s="62"/>
      <c r="H200" s="62"/>
      <c r="I200" s="62"/>
      <c r="J200" s="62"/>
      <c r="K200" s="62"/>
      <c r="L200" s="63" t="str">
        <f t="shared" si="14"/>
        <v>-</v>
      </c>
      <c r="M200" s="64"/>
      <c r="N200" s="64"/>
      <c r="O200" s="64"/>
      <c r="P200" s="64"/>
      <c r="Q200" s="64"/>
      <c r="R200" s="63">
        <f t="shared" si="15"/>
        <v>0</v>
      </c>
      <c r="S200" s="9" t="str">
        <f>IFERROR(INDEX(#REF!,MATCH(MIN(G200:K200),G200:K200,0)),"-")</f>
        <v>-</v>
      </c>
    </row>
    <row r="201" spans="1:19" ht="24" customHeight="1" x14ac:dyDescent="0.25">
      <c r="A201" s="8">
        <v>182</v>
      </c>
      <c r="C201" s="9" t="s">
        <v>228</v>
      </c>
      <c r="D201" s="17"/>
      <c r="E201" s="10"/>
      <c r="F201" s="10"/>
      <c r="G201" s="62"/>
      <c r="H201" s="62"/>
      <c r="I201" s="62"/>
      <c r="J201" s="62"/>
      <c r="K201" s="62"/>
      <c r="L201" s="63" t="str">
        <f t="shared" si="14"/>
        <v>-</v>
      </c>
      <c r="M201" s="64"/>
      <c r="N201" s="64"/>
      <c r="O201" s="64"/>
      <c r="P201" s="64"/>
      <c r="Q201" s="64"/>
      <c r="R201" s="63">
        <f t="shared" si="15"/>
        <v>0</v>
      </c>
      <c r="S201" s="9" t="str">
        <f>IFERROR(INDEX(#REF!,MATCH(MIN(G201:K201),G201:K201,0)),"-")</f>
        <v>-</v>
      </c>
    </row>
    <row r="202" spans="1:19" ht="24" customHeight="1" x14ac:dyDescent="0.25">
      <c r="A202" s="8">
        <v>183</v>
      </c>
      <c r="C202" s="9" t="s">
        <v>229</v>
      </c>
      <c r="D202" s="17"/>
      <c r="E202" s="10"/>
      <c r="F202" s="10"/>
      <c r="G202" s="62"/>
      <c r="H202" s="62"/>
      <c r="I202" s="62"/>
      <c r="J202" s="62"/>
      <c r="K202" s="62"/>
      <c r="L202" s="63" t="str">
        <f t="shared" si="14"/>
        <v>-</v>
      </c>
      <c r="M202" s="64"/>
      <c r="N202" s="64"/>
      <c r="O202" s="64"/>
      <c r="P202" s="64"/>
      <c r="Q202" s="64"/>
      <c r="R202" s="63">
        <f t="shared" si="15"/>
        <v>0</v>
      </c>
      <c r="S202" s="9" t="str">
        <f>IFERROR(INDEX(#REF!,MATCH(MIN(G202:K202),G202:K202,0)),"-")</f>
        <v>-</v>
      </c>
    </row>
    <row r="203" spans="1:19" ht="24" customHeight="1" x14ac:dyDescent="0.25">
      <c r="A203" s="8">
        <v>184</v>
      </c>
      <c r="C203" s="9" t="s">
        <v>230</v>
      </c>
      <c r="D203" s="17"/>
      <c r="E203" s="10"/>
      <c r="F203" s="10"/>
      <c r="G203" s="62"/>
      <c r="H203" s="62"/>
      <c r="I203" s="62"/>
      <c r="J203" s="62"/>
      <c r="K203" s="62"/>
      <c r="L203" s="63" t="str">
        <f t="shared" si="14"/>
        <v>-</v>
      </c>
      <c r="M203" s="64"/>
      <c r="N203" s="64"/>
      <c r="O203" s="64"/>
      <c r="P203" s="64"/>
      <c r="Q203" s="64"/>
      <c r="R203" s="63">
        <f t="shared" si="15"/>
        <v>0</v>
      </c>
      <c r="S203" s="9" t="str">
        <f>IFERROR(INDEX(#REF!,MATCH(MIN(G203:K203),G203:K203,0)),"-")</f>
        <v>-</v>
      </c>
    </row>
    <row r="204" spans="1:19" ht="24" customHeight="1" x14ac:dyDescent="0.25">
      <c r="A204" s="8">
        <v>185</v>
      </c>
      <c r="C204" s="9" t="s">
        <v>231</v>
      </c>
      <c r="D204" s="17"/>
      <c r="E204" s="10"/>
      <c r="F204" s="10"/>
      <c r="G204" s="62"/>
      <c r="H204" s="62"/>
      <c r="I204" s="62"/>
      <c r="J204" s="62"/>
      <c r="K204" s="62"/>
      <c r="L204" s="63" t="str">
        <f t="shared" si="14"/>
        <v>-</v>
      </c>
      <c r="M204" s="64"/>
      <c r="N204" s="64"/>
      <c r="O204" s="64"/>
      <c r="P204" s="64"/>
      <c r="Q204" s="64"/>
      <c r="R204" s="63">
        <f t="shared" si="15"/>
        <v>0</v>
      </c>
      <c r="S204" s="9" t="str">
        <f>IFERROR(INDEX(#REF!,MATCH(MIN(G204:K204),G204:K204,0)),"-")</f>
        <v>-</v>
      </c>
    </row>
  </sheetData>
  <autoFilter ref="C9:W9" xr:uid="{00000000-0001-0000-0000-000000000000}">
    <filterColumn colId="1" showButton="0"/>
    <filterColumn colId="18" showButton="0"/>
  </autoFilter>
  <mergeCells count="13">
    <mergeCell ref="D6:G7"/>
    <mergeCell ref="H2:P5"/>
    <mergeCell ref="Q2:S5"/>
    <mergeCell ref="R6:R7"/>
    <mergeCell ref="Q6:Q7"/>
    <mergeCell ref="I6:P7"/>
    <mergeCell ref="C8:S8"/>
    <mergeCell ref="E2:G5"/>
    <mergeCell ref="S6:S7"/>
    <mergeCell ref="H6:H7"/>
    <mergeCell ref="U9:V9"/>
    <mergeCell ref="D2:D5"/>
    <mergeCell ref="C2:C7"/>
  </mergeCells>
  <phoneticPr fontId="6" type="noConversion"/>
  <conditionalFormatting sqref="G17">
    <cfRule type="top10" dxfId="59" priority="25" rank="1"/>
    <cfRule type="top10" dxfId="58" priority="25" bottom="1" rank="1"/>
  </conditionalFormatting>
  <conditionalFormatting sqref="G18">
    <cfRule type="top10" dxfId="57" priority="27" rank="1"/>
    <cfRule type="top10" dxfId="56" priority="27" bottom="1" rank="1"/>
  </conditionalFormatting>
  <conditionalFormatting sqref="G19">
    <cfRule type="top10" dxfId="55" priority="26" rank="1"/>
    <cfRule type="top10" dxfId="54" priority="213" bottom="1" rank="1"/>
  </conditionalFormatting>
  <conditionalFormatting sqref="G20">
    <cfRule type="top10" dxfId="53" priority="28" rank="1"/>
    <cfRule type="top10" dxfId="52" priority="214" bottom="1" rank="1"/>
  </conditionalFormatting>
  <conditionalFormatting sqref="G10:H10">
    <cfRule type="top10" dxfId="51" priority="29" bottom="1" rank="1"/>
    <cfRule type="top10" dxfId="50" priority="30" rank="1"/>
  </conditionalFormatting>
  <conditionalFormatting sqref="G11:H11">
    <cfRule type="top10" dxfId="49" priority="31" bottom="1" rank="1"/>
    <cfRule type="top10" dxfId="48" priority="32" rank="1"/>
  </conditionalFormatting>
  <conditionalFormatting sqref="G12:H12">
    <cfRule type="top10" dxfId="47" priority="33" bottom="1" rank="1"/>
    <cfRule type="top10" dxfId="46" priority="34" rank="1"/>
  </conditionalFormatting>
  <conditionalFormatting sqref="G13:H13">
    <cfRule type="top10" dxfId="45" priority="35" bottom="1" rank="1"/>
    <cfRule type="top10" dxfId="44" priority="36" rank="1"/>
  </conditionalFormatting>
  <conditionalFormatting sqref="G14:H14">
    <cfRule type="top10" dxfId="43" priority="37" bottom="1" rank="1"/>
    <cfRule type="top10" dxfId="42" priority="38" rank="1"/>
  </conditionalFormatting>
  <conditionalFormatting sqref="G15:H15">
    <cfRule type="top10" dxfId="41" priority="39" bottom="1" rank="1"/>
    <cfRule type="top10" dxfId="40" priority="40" rank="1"/>
  </conditionalFormatting>
  <conditionalFormatting sqref="G16:H16">
    <cfRule type="top10" dxfId="39" priority="41" bottom="1" rank="1"/>
    <cfRule type="top10" dxfId="38" priority="42" rank="1"/>
  </conditionalFormatting>
  <conditionalFormatting sqref="G72:K72">
    <cfRule type="top10" dxfId="37" priority="11" bottom="1" rank="1"/>
    <cfRule type="top10" dxfId="36" priority="12" rank="1"/>
  </conditionalFormatting>
  <conditionalFormatting sqref="G74:K74">
    <cfRule type="top10" dxfId="35" priority="9" bottom="1" rank="1"/>
    <cfRule type="top10" dxfId="34" priority="10" rank="1"/>
  </conditionalFormatting>
  <conditionalFormatting sqref="G76:K76">
    <cfRule type="top10" dxfId="33" priority="7" bottom="1" rank="1"/>
    <cfRule type="top10" dxfId="32" priority="8" rank="1"/>
  </conditionalFormatting>
  <conditionalFormatting sqref="G84:K84">
    <cfRule type="top10" dxfId="31" priority="5" bottom="1" rank="1"/>
    <cfRule type="top10" dxfId="30" priority="6" rank="1"/>
  </conditionalFormatting>
  <conditionalFormatting sqref="G196:K196">
    <cfRule type="top10" dxfId="29" priority="1" bottom="1" rank="1"/>
    <cfRule type="top10" dxfId="28" priority="2" rank="1"/>
  </conditionalFormatting>
  <conditionalFormatting sqref="G197:K197">
    <cfRule type="top10" dxfId="27" priority="3" bottom="1" rank="1"/>
    <cfRule type="top10" dxfId="26" priority="4" rank="1"/>
  </conditionalFormatting>
  <conditionalFormatting sqref="G198:K198 G200:K200 G202:K202 G204:K204">
    <cfRule type="top10" dxfId="25" priority="13" bottom="1" rank="1"/>
    <cfRule type="top10" dxfId="24" priority="14" rank="1"/>
  </conditionalFormatting>
  <conditionalFormatting sqref="G199:K199 G201:K201 G203:K203">
    <cfRule type="top10" dxfId="23" priority="15" bottom="1" rank="1"/>
    <cfRule type="top10" dxfId="22" priority="16" rank="1"/>
  </conditionalFormatting>
  <conditionalFormatting sqref="H23">
    <cfRule type="top10" dxfId="21" priority="19" bottom="1" rank="1"/>
    <cfRule type="top10" dxfId="20" priority="20" rank="1"/>
  </conditionalFormatting>
  <conditionalFormatting sqref="H25">
    <cfRule type="top10" dxfId="19" priority="17" bottom="1" rank="1"/>
    <cfRule type="top10" dxfId="18" priority="18" rank="1"/>
  </conditionalFormatting>
  <conditionalFormatting sqref="H17:K17 H19:K19 G21:K21 G23 G25 G27:K27 G29:K29 G31:K31 G33:K33 G35:K35 G37:K37 G39:K39 G41:K41 G43:K43 G45:K45 G47:K47 G49:K49 G51:K51 G53:K53 G55:K55 G57:K57 G59:K59 G61:K61 G63:K63 G65:K65 G67:K67 G69:K69 G71:K71 G75:K75 G78:K78 G80:K80 G82:K82 G85:K85 G87:K87 G89:K89 G91:K91 G93:K93 G95:K95 G97:K97 G99:K99 G101:K101 G103:K103 G105:K105 G107:K107 G109:K109 G111:K111 G113:K113 G115:K115 G117:K117 G119:K119 G121:K121 G123:K123 G125:K125 G127:K127 G129:K129 G131:K131 G133:K133 G135:K135 G137:K137 G139:K139 G141:K141 G143:K143 G145:K145 G147:K147 G149:K149 G151:K151 G153:K153 G155:K155 G157:K157 G159:K159 G161:K161 I23:K23 I25:K25 G163:K195">
    <cfRule type="top10" dxfId="17" priority="61" bottom="1" rank="1"/>
    <cfRule type="top10" dxfId="16" priority="62" rank="1"/>
  </conditionalFormatting>
  <conditionalFormatting sqref="H18:K18 H20:K20 G22:K22 G26:K26 G28:K28 G30:K30 G32:K32 G34:K34 G36:K36 G38:K38 G40:K40 G42:K42 G44:K44 G46:K46 G48:K48 G50:K50 G52:K52 G54:K54 G56:K56 G58:K58 G60:K60 G62:K62 G64:K64 G66:K66 G68:K68 G70:K70 G73:K73 G77:K77 G79:K79 G81:K81 G83:K83 G86:K86 G88:K88 G90:K90 G92:K92 G94:K94 G96:K96 G98:K98 G100:K100 G102:K102 G104:K104 G106:K106 G108:K108 G110:K110 G112:K112 G114:K114 G116:K116 G118:K118 G120:K120 G122:K122 G124:K124 G126:K126 G128:K128 G130:K130 G132:K132 G134:K134 G136:K136 G138:K138 G140:K140 G142:K142 G144:K144 G146:K146 G148:K148 G150:K150 G152:K152 G154:K154 G156:K156 G158:K158 G160:K160 G162:K162 G24:K24">
    <cfRule type="top10" dxfId="15" priority="211" bottom="1" rank="1"/>
    <cfRule type="top10" dxfId="14" priority="212" rank="1"/>
  </conditionalFormatting>
  <conditionalFormatting sqref="I10:K10">
    <cfRule type="top10" dxfId="13" priority="43" bottom="1" rank="1"/>
    <cfRule type="top10" dxfId="12" priority="44" rank="1"/>
  </conditionalFormatting>
  <conditionalFormatting sqref="I11:K11">
    <cfRule type="top10" dxfId="11" priority="45" bottom="1" rank="1"/>
    <cfRule type="top10" dxfId="10" priority="46" rank="1"/>
  </conditionalFormatting>
  <conditionalFormatting sqref="I12:K12">
    <cfRule type="top10" dxfId="9" priority="47" bottom="1" rank="1"/>
    <cfRule type="top10" dxfId="8" priority="48" rank="1"/>
  </conditionalFormatting>
  <conditionalFormatting sqref="I13:K13">
    <cfRule type="top10" dxfId="7" priority="49" bottom="1" rank="1"/>
    <cfRule type="top10" dxfId="6" priority="50" rank="1"/>
  </conditionalFormatting>
  <conditionalFormatting sqref="I14:K14">
    <cfRule type="top10" dxfId="5" priority="51" bottom="1" rank="1"/>
    <cfRule type="top10" dxfId="4" priority="52" rank="1"/>
  </conditionalFormatting>
  <conditionalFormatting sqref="I15:K15">
    <cfRule type="top10" dxfId="3" priority="53" bottom="1" rank="1"/>
    <cfRule type="top10" dxfId="2" priority="54" rank="1"/>
  </conditionalFormatting>
  <conditionalFormatting sqref="I16:K16">
    <cfRule type="top10" dxfId="1" priority="55" bottom="1" rank="1"/>
    <cfRule type="top10" dxfId="0" priority="56" rank="1"/>
  </conditionalFormatting>
  <pageMargins left="0.7" right="0.7" top="0.75" bottom="0.75" header="0.3" footer="0.3"/>
  <pageSetup scale="2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Cover</vt:lpstr>
      <vt:lpstr>OZELPOZ</vt:lpstr>
      <vt:lpstr>Cover!Print_Area</vt:lpstr>
      <vt:lpstr>OZELPOZ!Print_Area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Tuğberk Korkmaz</dc:creator>
  <cp:lastModifiedBy>KEY OIL &amp; GAS</cp:lastModifiedBy>
  <dcterms:created xsi:type="dcterms:W3CDTF">2015-06-05T18:17:20Z</dcterms:created>
  <dcterms:modified xsi:type="dcterms:W3CDTF">2026-06-05T17:33:51Z</dcterms:modified>
</cp:coreProperties>
</file>