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Cover" sheetId="1" state="visible" r:id="rId1"/>
    <sheet name="OZELPOZ" sheetId="2" state="visible" r:id="rId2"/>
  </sheets>
  <definedNames>
    <definedName name="_xlnm.Print_Area" localSheetId="0">'Cover'!$B$2:$Q$56</definedName>
    <definedName name="_xlnm._FilterDatabase" localSheetId="1" hidden="1">'OZELPOZ'!$C$9:$W$9</definedName>
    <definedName name="_xlnm.Print_Area" localSheetId="1">'OZELPOZ'!$C$2:$S$204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00"/>
    <numFmt numFmtId="165" formatCode="_-[$₺-41F]* #,##0.00_-;\-[$₺-41F]* #,##0.00_-;_-[$₺-41F]* &quot;-&quot;??_-;_-@_-"/>
    <numFmt numFmtId="166" formatCode="&quot;€&quot;#,##0.00"/>
    <numFmt numFmtId="167" formatCode="&quot;$&quot;#,##0.00"/>
    <numFmt numFmtId="168" formatCode="₺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b val="1"/>
      <sz val="11"/>
    </font>
    <font>
      <name val="Arial"/>
      <family val="2"/>
      <sz val="1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44" fontId="1" fillId="0" borderId="0"/>
  </cellStyleXfs>
  <cellXfs count="99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0" fontId="2" fillId="0" borderId="1" applyAlignment="1" pivotButton="0" quotePrefix="0" xfId="1">
      <alignment horizontal="center" vertical="center"/>
    </xf>
    <xf numFmtId="0" fontId="2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1" fillId="0" borderId="5" pivotButton="0" quotePrefix="0" xfId="1"/>
    <xf numFmtId="0" fontId="1" fillId="0" borderId="6" pivotButton="0" quotePrefix="0" xfId="1"/>
    <xf numFmtId="164" fontId="0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2" pivotButton="0" quotePrefix="0" xfId="1"/>
    <xf numFmtId="0" fontId="1" fillId="0" borderId="7" pivotButton="0" quotePrefix="0" xfId="1"/>
    <xf numFmtId="165" fontId="8" fillId="0" borderId="1" applyAlignment="1" pivotButton="0" quotePrefix="0" xfId="2">
      <alignment vertical="center" wrapText="1"/>
    </xf>
    <xf numFmtId="0" fontId="7" fillId="0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0" borderId="10" applyAlignment="1" pivotButton="0" quotePrefix="0" xfId="0">
      <alignment vertical="center" wrapText="1"/>
    </xf>
    <xf numFmtId="0" fontId="7" fillId="0" borderId="10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1">
      <alignment horizontal="center" vertical="center"/>
    </xf>
    <xf numFmtId="0" fontId="0" fillId="0" borderId="5" applyAlignment="1" pivotButton="0" quotePrefix="0" xfId="1">
      <alignment horizontal="center" vertical="center"/>
    </xf>
    <xf numFmtId="0" fontId="0" fillId="0" borderId="7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0" fillId="0" borderId="3" applyAlignment="1" pivotButton="0" quotePrefix="0" xfId="1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0" fillId="0" borderId="8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 wrapText="1"/>
    </xf>
    <xf numFmtId="0" fontId="3" fillId="0" borderId="1" applyAlignment="1" pivotButton="0" quotePrefix="0" xfId="1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/>
    </xf>
    <xf numFmtId="0" fontId="5" fillId="0" borderId="1" applyAlignment="1" pivotButton="0" quotePrefix="0" xfId="1">
      <alignment horizontal="center"/>
    </xf>
    <xf numFmtId="0" fontId="0" fillId="0" borderId="1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  <xf numFmtId="14" fontId="1" fillId="0" borderId="1" applyAlignment="1" pivotButton="0" quotePrefix="0" xfId="1">
      <alignment horizontal="center"/>
    </xf>
    <xf numFmtId="14" fontId="0" fillId="0" borderId="1" applyAlignment="1" pivotButton="0" quotePrefix="0" xfId="1">
      <alignment horizontal="center"/>
    </xf>
    <xf numFmtId="0" fontId="4" fillId="0" borderId="5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0" fillId="0" borderId="1" applyAlignment="1" pivotButton="0" quotePrefix="0" xfId="1">
      <alignment horizontal="right" vertical="center"/>
    </xf>
    <xf numFmtId="0" fontId="1" fillId="0" borderId="1" applyAlignment="1" pivotButton="0" quotePrefix="0" xfId="1">
      <alignment horizontal="right" vertical="center"/>
    </xf>
    <xf numFmtId="0" fontId="2" fillId="0" borderId="5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 wrapText="1"/>
    </xf>
    <xf numFmtId="0" fontId="2" fillId="0" borderId="6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0" fontId="2" fillId="0" borderId="7" applyAlignment="1" pivotButton="0" quotePrefix="0" xfId="1">
      <alignment horizontal="center" vertical="center"/>
    </xf>
    <xf numFmtId="0" fontId="2" fillId="0" borderId="8" applyAlignment="1" pivotButton="0" quotePrefix="0" xfId="1">
      <alignment horizontal="center" vertical="center"/>
    </xf>
    <xf numFmtId="0" fontId="2" fillId="0" borderId="9" applyAlignment="1" pivotButton="0" quotePrefix="0" xfId="1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165" fontId="8" fillId="0" borderId="1" applyAlignment="1" pivotButton="0" quotePrefix="0" xfId="0">
      <alignment vertical="center" wrapText="1"/>
    </xf>
    <xf numFmtId="165" fontId="7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vertical="center" wrapText="1"/>
    </xf>
    <xf numFmtId="165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5" pivotButton="0" quotePrefix="0" xfId="0"/>
    <xf numFmtId="0" fontId="2" fillId="0" borderId="17" applyAlignment="1" pivotButton="0" quotePrefix="0" xfId="1">
      <alignment horizontal="center" vertical="center" wrapText="1"/>
    </xf>
    <xf numFmtId="0" fontId="0" fillId="0" borderId="18" pivotButton="0" quotePrefix="0" xfId="0"/>
    <xf numFmtId="0" fontId="2" fillId="0" borderId="17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19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20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21" pivotButton="0" quotePrefix="0" xfId="0"/>
    <xf numFmtId="0" fontId="0" fillId="0" borderId="10" pivotButton="0" quotePrefix="0" xfId="0"/>
    <xf numFmtId="165" fontId="0" fillId="0" borderId="0" pivotButton="0" quotePrefix="0" xfId="0"/>
    <xf numFmtId="0" fontId="0" fillId="0" borderId="24" applyAlignment="1" pivotButton="0" quotePrefix="0" xfId="1">
      <alignment horizontal="center" vertical="center"/>
    </xf>
    <xf numFmtId="0" fontId="0" fillId="0" borderId="23" applyAlignment="1" pivotButton="0" quotePrefix="0" xfId="1">
      <alignment horizontal="center" vertical="center"/>
    </xf>
    <xf numFmtId="0" fontId="0" fillId="0" borderId="22" pivotButton="0" quotePrefix="0" xfId="0"/>
    <xf numFmtId="164" fontId="0" fillId="0" borderId="0" pivotButton="0" quotePrefix="0" xfId="0"/>
    <xf numFmtId="0" fontId="8" fillId="0" borderId="1" applyAlignment="1" pivotButton="0" quotePrefix="0" xfId="0">
      <alignment vertical="center" wrapText="1"/>
    </xf>
    <xf numFmtId="165" fontId="7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/>
    </xf>
    <xf numFmtId="0" fontId="8" fillId="0" borderId="1" applyAlignment="1" pivotButton="0" quotePrefix="0" xfId="2">
      <alignment vertical="center" wrapText="1"/>
    </xf>
    <xf numFmtId="166" fontId="8" fillId="0" borderId="1" applyAlignment="1" pivotButton="0" quotePrefix="0" xfId="0">
      <alignment vertical="center" wrapText="1"/>
    </xf>
    <xf numFmtId="167" fontId="8" fillId="0" borderId="1" applyAlignment="1" pivotButton="0" quotePrefix="0" xfId="0">
      <alignment vertical="center" wrapText="1"/>
    </xf>
    <xf numFmtId="168" fontId="8" fillId="0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Currency" xfId="2" builtinId="4"/>
  </cellStyles>
  <dxfs count="60"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  <dxf>
      <font>
        <b val="1"/>
        <color rgb="FF1E4D2B"/>
      </font>
      <fill>
        <patternFill patternType="solid">
          <fgColor indexed="64"/>
          <bgColor rgb="FF92D050"/>
        </patternFill>
      </fill>
    </dxf>
    <dxf>
      <font>
        <color rgb="FF7F4F00"/>
      </font>
      <fill>
        <patternFill patternType="solid">
          <fgColor indexed="64"/>
          <bgColor rgb="FFFFD96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R56"/>
  <sheetViews>
    <sheetView view="pageBreakPreview" topLeftCell="A19" zoomScale="85" zoomScaleNormal="85" zoomScaleSheetLayoutView="85" workbookViewId="0">
      <selection activeCell="G12" sqref="G12"/>
    </sheetView>
  </sheetViews>
  <sheetFormatPr baseColWidth="8" defaultRowHeight="15"/>
  <cols>
    <col width="9.140625" customWidth="1" style="2" min="1" max="1"/>
    <col width="10.28515625" customWidth="1" style="2" min="2" max="3"/>
    <col width="9.140625" customWidth="1" style="2" min="4" max="8"/>
    <col width="4.140625" customWidth="1" style="2" min="9" max="17"/>
    <col width="9.140625" customWidth="1" style="2" min="18" max="257"/>
    <col width="10.28515625" customWidth="1" style="2" min="258" max="259"/>
    <col width="9.140625" customWidth="1" style="2" min="260" max="264"/>
    <col width="4.140625" customWidth="1" style="2" min="265" max="273"/>
    <col width="9.140625" customWidth="1" style="2" min="274" max="513"/>
    <col width="10.28515625" customWidth="1" style="2" min="514" max="515"/>
    <col width="9.140625" customWidth="1" style="2" min="516" max="520"/>
    <col width="4.140625" customWidth="1" style="2" min="521" max="529"/>
    <col width="9.140625" customWidth="1" style="2" min="530" max="769"/>
    <col width="10.28515625" customWidth="1" style="2" min="770" max="771"/>
    <col width="9.140625" customWidth="1" style="2" min="772" max="776"/>
    <col width="4.140625" customWidth="1" style="2" min="777" max="785"/>
    <col width="9.140625" customWidth="1" style="2" min="786" max="1025"/>
    <col width="10.28515625" customWidth="1" style="2" min="1026" max="1027"/>
    <col width="9.140625" customWidth="1" style="2" min="1028" max="1032"/>
    <col width="4.140625" customWidth="1" style="2" min="1033" max="1041"/>
    <col width="9.140625" customWidth="1" style="2" min="1042" max="1281"/>
    <col width="10.28515625" customWidth="1" style="2" min="1282" max="1283"/>
    <col width="9.140625" customWidth="1" style="2" min="1284" max="1288"/>
    <col width="4.140625" customWidth="1" style="2" min="1289" max="1297"/>
    <col width="9.140625" customWidth="1" style="2" min="1298" max="1537"/>
    <col width="10.28515625" customWidth="1" style="2" min="1538" max="1539"/>
    <col width="9.140625" customWidth="1" style="2" min="1540" max="1544"/>
    <col width="4.140625" customWidth="1" style="2" min="1545" max="1553"/>
    <col width="9.140625" customWidth="1" style="2" min="1554" max="1793"/>
    <col width="10.28515625" customWidth="1" style="2" min="1794" max="1795"/>
    <col width="9.140625" customWidth="1" style="2" min="1796" max="1800"/>
    <col width="4.140625" customWidth="1" style="2" min="1801" max="1809"/>
    <col width="9.140625" customWidth="1" style="2" min="1810" max="2049"/>
    <col width="10.28515625" customWidth="1" style="2" min="2050" max="2051"/>
    <col width="9.140625" customWidth="1" style="2" min="2052" max="2056"/>
    <col width="4.140625" customWidth="1" style="2" min="2057" max="2065"/>
    <col width="9.140625" customWidth="1" style="2" min="2066" max="2305"/>
    <col width="10.28515625" customWidth="1" style="2" min="2306" max="2307"/>
    <col width="9.140625" customWidth="1" style="2" min="2308" max="2312"/>
    <col width="4.140625" customWidth="1" style="2" min="2313" max="2321"/>
    <col width="9.140625" customWidth="1" style="2" min="2322" max="2561"/>
    <col width="10.28515625" customWidth="1" style="2" min="2562" max="2563"/>
    <col width="9.140625" customWidth="1" style="2" min="2564" max="2568"/>
    <col width="4.140625" customWidth="1" style="2" min="2569" max="2577"/>
    <col width="9.140625" customWidth="1" style="2" min="2578" max="2817"/>
    <col width="10.28515625" customWidth="1" style="2" min="2818" max="2819"/>
    <col width="9.140625" customWidth="1" style="2" min="2820" max="2824"/>
    <col width="4.140625" customWidth="1" style="2" min="2825" max="2833"/>
    <col width="9.140625" customWidth="1" style="2" min="2834" max="3073"/>
    <col width="10.28515625" customWidth="1" style="2" min="3074" max="3075"/>
    <col width="9.140625" customWidth="1" style="2" min="3076" max="3080"/>
    <col width="4.140625" customWidth="1" style="2" min="3081" max="3089"/>
    <col width="9.140625" customWidth="1" style="2" min="3090" max="3329"/>
    <col width="10.28515625" customWidth="1" style="2" min="3330" max="3331"/>
    <col width="9.140625" customWidth="1" style="2" min="3332" max="3336"/>
    <col width="4.140625" customWidth="1" style="2" min="3337" max="3345"/>
    <col width="9.140625" customWidth="1" style="2" min="3346" max="3585"/>
    <col width="10.28515625" customWidth="1" style="2" min="3586" max="3587"/>
    <col width="9.140625" customWidth="1" style="2" min="3588" max="3592"/>
    <col width="4.140625" customWidth="1" style="2" min="3593" max="3601"/>
    <col width="9.140625" customWidth="1" style="2" min="3602" max="3841"/>
    <col width="10.28515625" customWidth="1" style="2" min="3842" max="3843"/>
    <col width="9.140625" customWidth="1" style="2" min="3844" max="3848"/>
    <col width="4.140625" customWidth="1" style="2" min="3849" max="3857"/>
    <col width="9.140625" customWidth="1" style="2" min="3858" max="4097"/>
    <col width="10.28515625" customWidth="1" style="2" min="4098" max="4099"/>
    <col width="9.140625" customWidth="1" style="2" min="4100" max="4104"/>
    <col width="4.140625" customWidth="1" style="2" min="4105" max="4113"/>
    <col width="9.140625" customWidth="1" style="2" min="4114" max="4353"/>
    <col width="10.28515625" customWidth="1" style="2" min="4354" max="4355"/>
    <col width="9.140625" customWidth="1" style="2" min="4356" max="4360"/>
    <col width="4.140625" customWidth="1" style="2" min="4361" max="4369"/>
    <col width="9.140625" customWidth="1" style="2" min="4370" max="4609"/>
    <col width="10.28515625" customWidth="1" style="2" min="4610" max="4611"/>
    <col width="9.140625" customWidth="1" style="2" min="4612" max="4616"/>
    <col width="4.140625" customWidth="1" style="2" min="4617" max="4625"/>
    <col width="9.140625" customWidth="1" style="2" min="4626" max="4865"/>
    <col width="10.28515625" customWidth="1" style="2" min="4866" max="4867"/>
    <col width="9.140625" customWidth="1" style="2" min="4868" max="4872"/>
    <col width="4.140625" customWidth="1" style="2" min="4873" max="4881"/>
    <col width="9.140625" customWidth="1" style="2" min="4882" max="5121"/>
    <col width="10.28515625" customWidth="1" style="2" min="5122" max="5123"/>
    <col width="9.140625" customWidth="1" style="2" min="5124" max="5128"/>
    <col width="4.140625" customWidth="1" style="2" min="5129" max="5137"/>
    <col width="9.140625" customWidth="1" style="2" min="5138" max="5377"/>
    <col width="10.28515625" customWidth="1" style="2" min="5378" max="5379"/>
    <col width="9.140625" customWidth="1" style="2" min="5380" max="5384"/>
    <col width="4.140625" customWidth="1" style="2" min="5385" max="5393"/>
    <col width="9.140625" customWidth="1" style="2" min="5394" max="5633"/>
    <col width="10.28515625" customWidth="1" style="2" min="5634" max="5635"/>
    <col width="9.140625" customWidth="1" style="2" min="5636" max="5640"/>
    <col width="4.140625" customWidth="1" style="2" min="5641" max="5649"/>
    <col width="9.140625" customWidth="1" style="2" min="5650" max="5889"/>
    <col width="10.28515625" customWidth="1" style="2" min="5890" max="5891"/>
    <col width="9.140625" customWidth="1" style="2" min="5892" max="5896"/>
    <col width="4.140625" customWidth="1" style="2" min="5897" max="5905"/>
    <col width="9.140625" customWidth="1" style="2" min="5906" max="6145"/>
    <col width="10.28515625" customWidth="1" style="2" min="6146" max="6147"/>
    <col width="9.140625" customWidth="1" style="2" min="6148" max="6152"/>
    <col width="4.140625" customWidth="1" style="2" min="6153" max="6161"/>
    <col width="9.140625" customWidth="1" style="2" min="6162" max="6401"/>
    <col width="10.28515625" customWidth="1" style="2" min="6402" max="6403"/>
    <col width="9.140625" customWidth="1" style="2" min="6404" max="6408"/>
    <col width="4.140625" customWidth="1" style="2" min="6409" max="6417"/>
    <col width="9.140625" customWidth="1" style="2" min="6418" max="6657"/>
    <col width="10.28515625" customWidth="1" style="2" min="6658" max="6659"/>
    <col width="9.140625" customWidth="1" style="2" min="6660" max="6664"/>
    <col width="4.140625" customWidth="1" style="2" min="6665" max="6673"/>
    <col width="9.140625" customWidth="1" style="2" min="6674" max="6913"/>
    <col width="10.28515625" customWidth="1" style="2" min="6914" max="6915"/>
    <col width="9.140625" customWidth="1" style="2" min="6916" max="6920"/>
    <col width="4.140625" customWidth="1" style="2" min="6921" max="6929"/>
    <col width="9.140625" customWidth="1" style="2" min="6930" max="7169"/>
    <col width="10.28515625" customWidth="1" style="2" min="7170" max="7171"/>
    <col width="9.140625" customWidth="1" style="2" min="7172" max="7176"/>
    <col width="4.140625" customWidth="1" style="2" min="7177" max="7185"/>
    <col width="9.140625" customWidth="1" style="2" min="7186" max="7425"/>
    <col width="10.28515625" customWidth="1" style="2" min="7426" max="7427"/>
    <col width="9.140625" customWidth="1" style="2" min="7428" max="7432"/>
    <col width="4.140625" customWidth="1" style="2" min="7433" max="7441"/>
    <col width="9.140625" customWidth="1" style="2" min="7442" max="7681"/>
    <col width="10.28515625" customWidth="1" style="2" min="7682" max="7683"/>
    <col width="9.140625" customWidth="1" style="2" min="7684" max="7688"/>
    <col width="4.140625" customWidth="1" style="2" min="7689" max="7697"/>
    <col width="9.140625" customWidth="1" style="2" min="7698" max="7937"/>
    <col width="10.28515625" customWidth="1" style="2" min="7938" max="7939"/>
    <col width="9.140625" customWidth="1" style="2" min="7940" max="7944"/>
    <col width="4.140625" customWidth="1" style="2" min="7945" max="7953"/>
    <col width="9.140625" customWidth="1" style="2" min="7954" max="8193"/>
    <col width="10.28515625" customWidth="1" style="2" min="8194" max="8195"/>
    <col width="9.140625" customWidth="1" style="2" min="8196" max="8200"/>
    <col width="4.140625" customWidth="1" style="2" min="8201" max="8209"/>
    <col width="9.140625" customWidth="1" style="2" min="8210" max="8449"/>
    <col width="10.28515625" customWidth="1" style="2" min="8450" max="8451"/>
    <col width="9.140625" customWidth="1" style="2" min="8452" max="8456"/>
    <col width="4.140625" customWidth="1" style="2" min="8457" max="8465"/>
    <col width="9.140625" customWidth="1" style="2" min="8466" max="8705"/>
    <col width="10.28515625" customWidth="1" style="2" min="8706" max="8707"/>
    <col width="9.140625" customWidth="1" style="2" min="8708" max="8712"/>
    <col width="4.140625" customWidth="1" style="2" min="8713" max="8721"/>
    <col width="9.140625" customWidth="1" style="2" min="8722" max="8961"/>
    <col width="10.28515625" customWidth="1" style="2" min="8962" max="8963"/>
    <col width="9.140625" customWidth="1" style="2" min="8964" max="8968"/>
    <col width="4.140625" customWidth="1" style="2" min="8969" max="8977"/>
    <col width="9.140625" customWidth="1" style="2" min="8978" max="9217"/>
    <col width="10.28515625" customWidth="1" style="2" min="9218" max="9219"/>
    <col width="9.140625" customWidth="1" style="2" min="9220" max="9224"/>
    <col width="4.140625" customWidth="1" style="2" min="9225" max="9233"/>
    <col width="9.140625" customWidth="1" style="2" min="9234" max="9473"/>
    <col width="10.28515625" customWidth="1" style="2" min="9474" max="9475"/>
    <col width="9.140625" customWidth="1" style="2" min="9476" max="9480"/>
    <col width="4.140625" customWidth="1" style="2" min="9481" max="9489"/>
    <col width="9.140625" customWidth="1" style="2" min="9490" max="9729"/>
    <col width="10.28515625" customWidth="1" style="2" min="9730" max="9731"/>
    <col width="9.140625" customWidth="1" style="2" min="9732" max="9736"/>
    <col width="4.140625" customWidth="1" style="2" min="9737" max="9745"/>
    <col width="9.140625" customWidth="1" style="2" min="9746" max="9985"/>
    <col width="10.28515625" customWidth="1" style="2" min="9986" max="9987"/>
    <col width="9.140625" customWidth="1" style="2" min="9988" max="9992"/>
    <col width="4.140625" customWidth="1" style="2" min="9993" max="10001"/>
    <col width="9.140625" customWidth="1" style="2" min="10002" max="10241"/>
    <col width="10.28515625" customWidth="1" style="2" min="10242" max="10243"/>
    <col width="9.140625" customWidth="1" style="2" min="10244" max="10248"/>
    <col width="4.140625" customWidth="1" style="2" min="10249" max="10257"/>
    <col width="9.140625" customWidth="1" style="2" min="10258" max="10497"/>
    <col width="10.28515625" customWidth="1" style="2" min="10498" max="10499"/>
    <col width="9.140625" customWidth="1" style="2" min="10500" max="10504"/>
    <col width="4.140625" customWidth="1" style="2" min="10505" max="10513"/>
    <col width="9.140625" customWidth="1" style="2" min="10514" max="10753"/>
    <col width="10.28515625" customWidth="1" style="2" min="10754" max="10755"/>
    <col width="9.140625" customWidth="1" style="2" min="10756" max="10760"/>
    <col width="4.140625" customWidth="1" style="2" min="10761" max="10769"/>
    <col width="9.140625" customWidth="1" style="2" min="10770" max="11009"/>
    <col width="10.28515625" customWidth="1" style="2" min="11010" max="11011"/>
    <col width="9.140625" customWidth="1" style="2" min="11012" max="11016"/>
    <col width="4.140625" customWidth="1" style="2" min="11017" max="11025"/>
    <col width="9.140625" customWidth="1" style="2" min="11026" max="11265"/>
    <col width="10.28515625" customWidth="1" style="2" min="11266" max="11267"/>
    <col width="9.140625" customWidth="1" style="2" min="11268" max="11272"/>
    <col width="4.140625" customWidth="1" style="2" min="11273" max="11281"/>
    <col width="9.140625" customWidth="1" style="2" min="11282" max="11521"/>
    <col width="10.28515625" customWidth="1" style="2" min="11522" max="11523"/>
    <col width="9.140625" customWidth="1" style="2" min="11524" max="11528"/>
    <col width="4.140625" customWidth="1" style="2" min="11529" max="11537"/>
    <col width="9.140625" customWidth="1" style="2" min="11538" max="11777"/>
    <col width="10.28515625" customWidth="1" style="2" min="11778" max="11779"/>
    <col width="9.140625" customWidth="1" style="2" min="11780" max="11784"/>
    <col width="4.140625" customWidth="1" style="2" min="11785" max="11793"/>
    <col width="9.140625" customWidth="1" style="2" min="11794" max="12033"/>
    <col width="10.28515625" customWidth="1" style="2" min="12034" max="12035"/>
    <col width="9.140625" customWidth="1" style="2" min="12036" max="12040"/>
    <col width="4.140625" customWidth="1" style="2" min="12041" max="12049"/>
    <col width="9.140625" customWidth="1" style="2" min="12050" max="12289"/>
    <col width="10.28515625" customWidth="1" style="2" min="12290" max="12291"/>
    <col width="9.140625" customWidth="1" style="2" min="12292" max="12296"/>
    <col width="4.140625" customWidth="1" style="2" min="12297" max="12305"/>
    <col width="9.140625" customWidth="1" style="2" min="12306" max="12545"/>
    <col width="10.28515625" customWidth="1" style="2" min="12546" max="12547"/>
    <col width="9.140625" customWidth="1" style="2" min="12548" max="12552"/>
    <col width="4.140625" customWidth="1" style="2" min="12553" max="12561"/>
    <col width="9.140625" customWidth="1" style="2" min="12562" max="12801"/>
    <col width="10.28515625" customWidth="1" style="2" min="12802" max="12803"/>
    <col width="9.140625" customWidth="1" style="2" min="12804" max="12808"/>
    <col width="4.140625" customWidth="1" style="2" min="12809" max="12817"/>
    <col width="9.140625" customWidth="1" style="2" min="12818" max="13057"/>
    <col width="10.28515625" customWidth="1" style="2" min="13058" max="13059"/>
    <col width="9.140625" customWidth="1" style="2" min="13060" max="13064"/>
    <col width="4.140625" customWidth="1" style="2" min="13065" max="13073"/>
    <col width="9.140625" customWidth="1" style="2" min="13074" max="13313"/>
    <col width="10.28515625" customWidth="1" style="2" min="13314" max="13315"/>
    <col width="9.140625" customWidth="1" style="2" min="13316" max="13320"/>
    <col width="4.140625" customWidth="1" style="2" min="13321" max="13329"/>
    <col width="9.140625" customWidth="1" style="2" min="13330" max="13569"/>
    <col width="10.28515625" customWidth="1" style="2" min="13570" max="13571"/>
    <col width="9.140625" customWidth="1" style="2" min="13572" max="13576"/>
    <col width="4.140625" customWidth="1" style="2" min="13577" max="13585"/>
    <col width="9.140625" customWidth="1" style="2" min="13586" max="13825"/>
    <col width="10.28515625" customWidth="1" style="2" min="13826" max="13827"/>
    <col width="9.140625" customWidth="1" style="2" min="13828" max="13832"/>
    <col width="4.140625" customWidth="1" style="2" min="13833" max="13841"/>
    <col width="9.140625" customWidth="1" style="2" min="13842" max="14081"/>
    <col width="10.28515625" customWidth="1" style="2" min="14082" max="14083"/>
    <col width="9.140625" customWidth="1" style="2" min="14084" max="14088"/>
    <col width="4.140625" customWidth="1" style="2" min="14089" max="14097"/>
    <col width="9.140625" customWidth="1" style="2" min="14098" max="14337"/>
    <col width="10.28515625" customWidth="1" style="2" min="14338" max="14339"/>
    <col width="9.140625" customWidth="1" style="2" min="14340" max="14344"/>
    <col width="4.140625" customWidth="1" style="2" min="14345" max="14353"/>
    <col width="9.140625" customWidth="1" style="2" min="14354" max="14593"/>
    <col width="10.28515625" customWidth="1" style="2" min="14594" max="14595"/>
    <col width="9.140625" customWidth="1" style="2" min="14596" max="14600"/>
    <col width="4.140625" customWidth="1" style="2" min="14601" max="14609"/>
    <col width="9.140625" customWidth="1" style="2" min="14610" max="14849"/>
    <col width="10.28515625" customWidth="1" style="2" min="14850" max="14851"/>
    <col width="9.140625" customWidth="1" style="2" min="14852" max="14856"/>
    <col width="4.140625" customWidth="1" style="2" min="14857" max="14865"/>
    <col width="9.140625" customWidth="1" style="2" min="14866" max="15105"/>
    <col width="10.28515625" customWidth="1" style="2" min="15106" max="15107"/>
    <col width="9.140625" customWidth="1" style="2" min="15108" max="15112"/>
    <col width="4.140625" customWidth="1" style="2" min="15113" max="15121"/>
    <col width="9.140625" customWidth="1" style="2" min="15122" max="15361"/>
    <col width="10.28515625" customWidth="1" style="2" min="15362" max="15363"/>
    <col width="9.140625" customWidth="1" style="2" min="15364" max="15368"/>
    <col width="4.140625" customWidth="1" style="2" min="15369" max="15377"/>
    <col width="9.140625" customWidth="1" style="2" min="15378" max="15617"/>
    <col width="10.28515625" customWidth="1" style="2" min="15618" max="15619"/>
    <col width="9.140625" customWidth="1" style="2" min="15620" max="15624"/>
    <col width="4.140625" customWidth="1" style="2" min="15625" max="15633"/>
    <col width="9.140625" customWidth="1" style="2" min="15634" max="15873"/>
    <col width="10.28515625" customWidth="1" style="2" min="15874" max="15875"/>
    <col width="9.140625" customWidth="1" style="2" min="15876" max="15880"/>
    <col width="4.140625" customWidth="1" style="2" min="15881" max="15889"/>
    <col width="9.140625" customWidth="1" style="2" min="15890" max="16129"/>
    <col width="10.28515625" customWidth="1" style="2" min="16130" max="16131"/>
    <col width="9.140625" customWidth="1" style="2" min="16132" max="16136"/>
    <col width="4.140625" customWidth="1" style="2" min="16137" max="16145"/>
    <col width="9.140625" customWidth="1" style="2" min="16146" max="16384"/>
  </cols>
  <sheetData>
    <row r="2" ht="15" customHeight="1">
      <c r="B2" s="43" t="e">
        <v>#VALUE!</v>
      </c>
      <c r="C2" s="68" t="n"/>
      <c r="D2" s="49" t="inlineStr">
        <is>
          <t xml:space="preserve">TÜRKİYE PETROLLERİ A.O.     </t>
        </is>
      </c>
      <c r="E2" s="69" t="n"/>
      <c r="F2" s="69" t="n"/>
      <c r="G2" s="68" t="n"/>
      <c r="H2" s="36" t="inlineStr">
        <is>
          <t>İŞ NO : 1-KEY-199</t>
        </is>
      </c>
      <c r="I2" s="69" t="n"/>
      <c r="J2" s="69" t="n"/>
      <c r="K2" s="69" t="n"/>
      <c r="L2" s="68" t="n"/>
      <c r="M2" s="37" t="inlineStr">
        <is>
          <t xml:space="preserve">UNİTE :   -   </t>
        </is>
      </c>
      <c r="N2" s="69" t="n"/>
      <c r="O2" s="69" t="n"/>
      <c r="P2" s="69" t="n"/>
      <c r="Q2" s="68" t="n"/>
      <c r="R2" s="1" t="n"/>
    </row>
    <row r="3">
      <c r="B3" s="70" t="n"/>
      <c r="C3" s="71" t="n"/>
      <c r="D3" s="70" t="n"/>
      <c r="G3" s="71" t="n"/>
      <c r="H3" s="70" t="n"/>
      <c r="L3" s="71" t="n"/>
      <c r="M3" s="70" t="n"/>
      <c r="Q3" s="71" t="n"/>
      <c r="R3" s="1" t="n"/>
    </row>
    <row r="4">
      <c r="B4" s="70" t="n"/>
      <c r="C4" s="71" t="n"/>
      <c r="D4" s="72" t="n"/>
      <c r="E4" s="73" t="n"/>
      <c r="F4" s="73" t="n"/>
      <c r="G4" s="74" t="n"/>
      <c r="H4" s="72" t="n"/>
      <c r="I4" s="73" t="n"/>
      <c r="J4" s="73" t="n"/>
      <c r="K4" s="73" t="n"/>
      <c r="L4" s="74" t="n"/>
      <c r="M4" s="72" t="n"/>
      <c r="N4" s="73" t="n"/>
      <c r="O4" s="73" t="n"/>
      <c r="P4" s="73" t="n"/>
      <c r="Q4" s="74" t="n"/>
      <c r="R4" s="1" t="n"/>
    </row>
    <row r="5" ht="15" customHeight="1">
      <c r="B5" s="70" t="n"/>
      <c r="C5" s="71" t="n"/>
      <c r="D5" s="75" t="inlineStr">
        <is>
          <t>MEHMET İRFAN GÜLER PETROL ÜRETİM İSTASYONU DETAY MÜHENDİSLİK İŞİ</t>
        </is>
      </c>
      <c r="E5" s="69" t="n"/>
      <c r="F5" s="69" t="n"/>
      <c r="G5" s="76" t="n"/>
      <c r="H5" s="77" t="inlineStr">
        <is>
          <t>DOC. NO.:              KEY199-PRJ-COST-0003</t>
        </is>
      </c>
      <c r="I5" s="69" t="n"/>
      <c r="J5" s="69" t="n"/>
      <c r="K5" s="69" t="n"/>
      <c r="L5" s="69" t="n"/>
      <c r="M5" s="69" t="n"/>
      <c r="N5" s="69" t="n"/>
      <c r="O5" s="76" t="n"/>
      <c r="P5" s="36" t="inlineStr">
        <is>
          <t>Sayfa
1of2</t>
        </is>
      </c>
      <c r="Q5" s="68" t="n"/>
    </row>
    <row r="6" ht="15" customHeight="1">
      <c r="B6" s="70" t="n"/>
      <c r="C6" s="71" t="n"/>
      <c r="D6" s="70" t="n"/>
      <c r="G6" s="78" t="n"/>
      <c r="H6" s="79" t="n"/>
      <c r="I6" s="80" t="n"/>
      <c r="J6" s="80" t="n"/>
      <c r="K6" s="80" t="n"/>
      <c r="L6" s="80" t="n"/>
      <c r="M6" s="80" t="n"/>
      <c r="N6" s="80" t="n"/>
      <c r="O6" s="81" t="n"/>
      <c r="P6" s="72" t="n"/>
      <c r="Q6" s="74" t="n"/>
    </row>
    <row r="7">
      <c r="B7" s="72" t="n"/>
      <c r="C7" s="74" t="n"/>
      <c r="D7" s="79" t="n"/>
      <c r="E7" s="80" t="n"/>
      <c r="F7" s="80" t="n"/>
      <c r="G7" s="81" t="n"/>
      <c r="H7" s="4" t="inlineStr">
        <is>
          <t>REV</t>
        </is>
      </c>
      <c r="I7" s="39" t="inlineStr">
        <is>
          <t>AA</t>
        </is>
      </c>
      <c r="J7" s="39" t="n"/>
      <c r="K7" s="39" t="n"/>
      <c r="L7" s="39" t="n"/>
      <c r="M7" s="39" t="n"/>
      <c r="N7" s="39" t="n"/>
      <c r="O7" s="39" t="n"/>
      <c r="P7" s="39" t="n"/>
      <c r="Q7" s="5" t="n"/>
    </row>
    <row r="8">
      <c r="B8" s="6" t="n"/>
      <c r="Q8" s="7" t="n"/>
    </row>
    <row r="9">
      <c r="B9" s="6" t="n"/>
      <c r="Q9" s="7" t="n"/>
    </row>
    <row r="10">
      <c r="B10" s="6" t="n"/>
      <c r="Q10" s="7" t="n"/>
    </row>
    <row r="11">
      <c r="B11" s="6" t="n"/>
      <c r="Q11" s="7" t="n"/>
    </row>
    <row r="12">
      <c r="B12" s="6" t="n"/>
      <c r="Q12" s="7" t="n"/>
    </row>
    <row r="13">
      <c r="B13" s="6" t="n"/>
      <c r="Q13" s="7" t="n"/>
    </row>
    <row r="14">
      <c r="B14" s="6" t="n"/>
      <c r="Q14" s="7" t="n"/>
    </row>
    <row r="15">
      <c r="B15" s="6" t="n"/>
      <c r="Q15" s="7" t="n"/>
    </row>
    <row r="16">
      <c r="B16" s="6" t="n"/>
      <c r="Q16" s="7" t="n"/>
    </row>
    <row r="17">
      <c r="B17" s="6" t="n"/>
      <c r="Q17" s="7" t="n"/>
    </row>
    <row r="18">
      <c r="B18" s="6" t="n"/>
      <c r="Q18" s="7" t="n"/>
    </row>
    <row r="19">
      <c r="B19" s="6" t="n"/>
      <c r="Q19" s="7" t="n"/>
    </row>
    <row r="20">
      <c r="B20" s="6" t="n"/>
      <c r="Q20" s="7" t="n"/>
    </row>
    <row r="21" ht="11.25" customHeight="1">
      <c r="B21" s="82" t="inlineStr">
        <is>
          <t>ÖZEL POZ TEKLİF DÖKÜMANTASYONU</t>
        </is>
      </c>
      <c r="Q21" s="78" t="n"/>
    </row>
    <row r="22" ht="11.25" customHeight="1">
      <c r="B22" s="83" t="n"/>
      <c r="Q22" s="78" t="n"/>
    </row>
    <row r="23">
      <c r="B23" s="83" t="n"/>
      <c r="Q23" s="78" t="n"/>
    </row>
    <row r="24">
      <c r="B24" s="6" t="n"/>
      <c r="Q24" s="7" t="n"/>
    </row>
    <row r="25">
      <c r="B25" s="6" t="n"/>
      <c r="Q25" s="7" t="n"/>
    </row>
    <row r="26">
      <c r="B26" s="6" t="n"/>
      <c r="Q26" s="7" t="n"/>
    </row>
    <row r="27">
      <c r="B27" s="6" t="n"/>
      <c r="Q27" s="7" t="n"/>
    </row>
    <row r="28">
      <c r="B28" s="6" t="n"/>
      <c r="Q28" s="7" t="n"/>
    </row>
    <row r="29">
      <c r="B29" s="6" t="n"/>
      <c r="Q29" s="7" t="n"/>
    </row>
    <row r="30">
      <c r="B30" s="6" t="n"/>
      <c r="Q30" s="7" t="n"/>
    </row>
    <row r="31">
      <c r="B31" s="6" t="n"/>
      <c r="Q31" s="7" t="n"/>
    </row>
    <row r="32">
      <c r="B32" s="6" t="n"/>
      <c r="Q32" s="7" t="n"/>
    </row>
    <row r="33">
      <c r="B33" s="6" t="n"/>
      <c r="Q33" s="7" t="n"/>
    </row>
    <row r="34">
      <c r="B34" s="6" t="n"/>
      <c r="Q34" s="7" t="n"/>
    </row>
    <row r="35">
      <c r="B35" s="6" t="n"/>
      <c r="Q35" s="7" t="n"/>
    </row>
    <row r="36">
      <c r="B36" s="6" t="n"/>
      <c r="Q36" s="7" t="n"/>
    </row>
    <row r="37">
      <c r="B37" s="6" t="n"/>
      <c r="Q37" s="7" t="n"/>
    </row>
    <row r="38">
      <c r="B38" s="6" t="n"/>
      <c r="Q38" s="7" t="n"/>
    </row>
    <row r="39">
      <c r="B39" s="6" t="n"/>
      <c r="Q39" s="7" t="n"/>
    </row>
    <row r="40">
      <c r="B40" s="6" t="n"/>
      <c r="Q40" s="7" t="n"/>
    </row>
    <row r="41">
      <c r="B41" s="6" t="n"/>
      <c r="Q41" s="7" t="n"/>
    </row>
    <row r="42">
      <c r="B42" s="6" t="n"/>
      <c r="Q42" s="7" t="n"/>
    </row>
    <row r="43">
      <c r="B43" s="6" t="n"/>
      <c r="Q43" s="7" t="n"/>
    </row>
    <row r="44">
      <c r="B44" s="6" t="n"/>
      <c r="Q44" s="7" t="n"/>
    </row>
    <row r="45">
      <c r="B45" s="6" t="n"/>
      <c r="Q45" s="7" t="n"/>
    </row>
    <row r="46">
      <c r="B46" s="6" t="n"/>
      <c r="Q46" s="7" t="n"/>
    </row>
    <row r="47">
      <c r="B47" s="6" t="n"/>
      <c r="Q47" s="7" t="n"/>
    </row>
    <row r="48">
      <c r="B48" s="6" t="n"/>
      <c r="Q48" s="7" t="n"/>
    </row>
    <row r="49">
      <c r="B49" s="6" t="n"/>
      <c r="Q49" s="7" t="n"/>
    </row>
    <row r="50">
      <c r="B50" s="6" t="n"/>
      <c r="Q50" s="7" t="n"/>
    </row>
    <row r="51">
      <c r="B51" s="6" t="n"/>
      <c r="Q51" s="7" t="n"/>
    </row>
    <row r="52">
      <c r="B52" s="42" t="n"/>
      <c r="C52" s="84" t="n"/>
      <c r="D52" s="45" t="n"/>
      <c r="E52" s="84" t="n"/>
      <c r="F52" s="42" t="n"/>
      <c r="G52" s="85" t="n"/>
      <c r="H52" s="84" t="n"/>
      <c r="I52" s="42" t="n"/>
      <c r="J52" s="85" t="n"/>
      <c r="K52" s="84" t="n"/>
      <c r="L52" s="42" t="n"/>
      <c r="M52" s="85" t="n"/>
      <c r="N52" s="84" t="n"/>
      <c r="O52" s="43" t="n"/>
      <c r="P52" s="85" t="n"/>
      <c r="Q52" s="84" t="n"/>
    </row>
    <row r="53">
      <c r="B53" s="42" t="n"/>
      <c r="C53" s="84" t="n"/>
      <c r="D53" s="45" t="n"/>
      <c r="E53" s="84" t="n"/>
      <c r="F53" s="42" t="n"/>
      <c r="G53" s="85" t="n"/>
      <c r="H53" s="84" t="n"/>
      <c r="I53" s="42" t="n"/>
      <c r="J53" s="85" t="n"/>
      <c r="K53" s="84" t="n"/>
      <c r="L53" s="42" t="n"/>
      <c r="M53" s="85" t="n"/>
      <c r="N53" s="84" t="n"/>
      <c r="O53" s="43" t="n"/>
      <c r="P53" s="85" t="n"/>
      <c r="Q53" s="84" t="n"/>
    </row>
    <row r="54">
      <c r="B54" s="42" t="n"/>
      <c r="C54" s="84" t="n"/>
      <c r="D54" s="45" t="n"/>
      <c r="E54" s="84" t="n"/>
      <c r="F54" s="42" t="n"/>
      <c r="G54" s="85" t="n"/>
      <c r="H54" s="84" t="n"/>
      <c r="I54" s="42" t="n"/>
      <c r="J54" s="85" t="n"/>
      <c r="K54" s="84" t="n"/>
      <c r="L54" s="42" t="n"/>
      <c r="M54" s="85" t="n"/>
      <c r="N54" s="84" t="n"/>
      <c r="O54" s="43" t="n"/>
      <c r="P54" s="85" t="n"/>
      <c r="Q54" s="84" t="n"/>
    </row>
    <row r="55">
      <c r="B55" s="42" t="inlineStr">
        <is>
          <t>AA</t>
        </is>
      </c>
      <c r="C55" s="84" t="n"/>
      <c r="D55" s="44" t="n">
        <v>46149</v>
      </c>
      <c r="E55" s="84" t="n"/>
      <c r="F55" s="42" t="inlineStr">
        <is>
          <t>ONAY İÇİN</t>
        </is>
      </c>
      <c r="G55" s="85" t="n"/>
      <c r="H55" s="84" t="n"/>
      <c r="I55" s="42" t="inlineStr">
        <is>
          <t>O.A.</t>
        </is>
      </c>
      <c r="J55" s="85" t="n"/>
      <c r="K55" s="84" t="n"/>
      <c r="L55" s="42" t="inlineStr">
        <is>
          <t>T.K</t>
        </is>
      </c>
      <c r="M55" s="85" t="n"/>
      <c r="N55" s="84" t="n"/>
      <c r="O55" s="42" t="inlineStr">
        <is>
          <t>E.Y</t>
        </is>
      </c>
      <c r="P55" s="85" t="n"/>
      <c r="Q55" s="84" t="n"/>
    </row>
    <row r="56" ht="15.75" customHeight="1">
      <c r="B56" s="41" t="inlineStr">
        <is>
          <t>REV</t>
        </is>
      </c>
      <c r="C56" s="84" t="n"/>
      <c r="D56" s="41" t="inlineStr">
        <is>
          <t>TARİH</t>
        </is>
      </c>
      <c r="E56" s="84" t="n"/>
      <c r="F56" s="41" t="inlineStr">
        <is>
          <t>AÇIKLAMA</t>
        </is>
      </c>
      <c r="G56" s="85" t="n"/>
      <c r="H56" s="84" t="n"/>
      <c r="I56" s="41" t="inlineStr">
        <is>
          <t>YAPAN</t>
        </is>
      </c>
      <c r="J56" s="85" t="n"/>
      <c r="K56" s="84" t="n"/>
      <c r="L56" s="41" t="inlineStr">
        <is>
          <t>KONTROL</t>
        </is>
      </c>
      <c r="M56" s="85" t="n"/>
      <c r="N56" s="84" t="n"/>
      <c r="O56" s="41" t="inlineStr">
        <is>
          <t>ONAY</t>
        </is>
      </c>
      <c r="P56" s="85" t="n"/>
      <c r="Q56" s="84" t="n"/>
    </row>
  </sheetData>
  <mergeCells count="38">
    <mergeCell ref="I54:K54"/>
    <mergeCell ref="B2:C7"/>
    <mergeCell ref="B54:C54"/>
    <mergeCell ref="O54:Q54"/>
    <mergeCell ref="D5:G7"/>
    <mergeCell ref="I53:K53"/>
    <mergeCell ref="I56:K56"/>
    <mergeCell ref="L55:N55"/>
    <mergeCell ref="B56:C56"/>
    <mergeCell ref="B52:C52"/>
    <mergeCell ref="I55:K55"/>
    <mergeCell ref="O55:Q55"/>
    <mergeCell ref="D52:E52"/>
    <mergeCell ref="L54:N54"/>
    <mergeCell ref="I52:K52"/>
    <mergeCell ref="M2:Q4"/>
    <mergeCell ref="O56:Q56"/>
    <mergeCell ref="O52:Q52"/>
    <mergeCell ref="F56:H56"/>
    <mergeCell ref="F52:H52"/>
    <mergeCell ref="P5:Q6"/>
    <mergeCell ref="L56:N56"/>
    <mergeCell ref="B53:C53"/>
    <mergeCell ref="L52:N52"/>
    <mergeCell ref="H5:O6"/>
    <mergeCell ref="D53:E53"/>
    <mergeCell ref="H2:L4"/>
    <mergeCell ref="F53:H53"/>
    <mergeCell ref="D2:G4"/>
    <mergeCell ref="D56:E56"/>
    <mergeCell ref="B21:Q23"/>
    <mergeCell ref="B55:C55"/>
    <mergeCell ref="F54:H54"/>
    <mergeCell ref="O53:Q53"/>
    <mergeCell ref="D55:E55"/>
    <mergeCell ref="L53:N53"/>
    <mergeCell ref="D54:E54"/>
    <mergeCell ref="F55:H55"/>
  </mergeCells>
  <printOptions horizontalCentered="1"/>
  <pageMargins left="0.7874015748031497" right="0.3937007874015748" top="0.7874015748031497" bottom="0.7874015748031497" header="0.3149606299212598" footer="0.3149606299212598"/>
  <pageSetup orientation="portrait" paperSize="9" scale="86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X204"/>
  <sheetViews>
    <sheetView tabSelected="1" view="pageBreakPreview" zoomScale="85" zoomScaleNormal="70" zoomScaleSheetLayoutView="85" workbookViewId="0">
      <pane ySplit="9" topLeftCell="A161" activePane="bottomLeft" state="frozen"/>
      <selection pane="bottomLeft" activeCell="D162" sqref="D162"/>
    </sheetView>
  </sheetViews>
  <sheetFormatPr baseColWidth="8" defaultRowHeight="15"/>
  <cols>
    <col hidden="1" width="9.140625" customWidth="1" min="1" max="1"/>
    <col width="5.7109375" customWidth="1" min="2" max="2"/>
    <col width="55.140625" customWidth="1" min="3" max="3"/>
    <col width="111.5703125" customWidth="1" min="4" max="4"/>
    <col width="12.28515625" customWidth="1" min="5" max="5"/>
    <col width="16.5703125" customWidth="1" style="16" min="6" max="6"/>
    <col width="21" customWidth="1" style="86" min="7" max="11"/>
    <col width="20" customWidth="1" style="86" min="12" max="13"/>
    <col width="24" customWidth="1" style="86" min="14" max="14"/>
    <col width="20" customWidth="1" style="86" min="15" max="18"/>
    <col width="22.85546875" customWidth="1" min="19" max="19"/>
    <col width="16.7109375" customWidth="1" min="20" max="20"/>
  </cols>
  <sheetData>
    <row r="1" ht="39.95" customHeight="1">
      <c r="C1" s="86" t="n"/>
    </row>
    <row r="2" customFormat="1" s="11">
      <c r="A2" s="12" t="n"/>
      <c r="C2" s="87" t="e">
        <v>#VALUE!</v>
      </c>
      <c r="D2" s="88" t="n"/>
      <c r="E2" s="36" t="inlineStr">
        <is>
          <t>İŞ NO : 1-KEY-199</t>
        </is>
      </c>
      <c r="F2" s="69" t="n"/>
      <c r="G2" s="68" t="n"/>
      <c r="H2" s="36" t="inlineStr">
        <is>
          <t>İŞ NO : 1-KEY-199</t>
        </is>
      </c>
      <c r="I2" s="69" t="n"/>
      <c r="J2" s="69" t="n"/>
      <c r="K2" s="69" t="n"/>
      <c r="L2" s="69" t="n"/>
      <c r="M2" s="69" t="n"/>
      <c r="N2" s="69" t="n"/>
      <c r="O2" s="69" t="n"/>
      <c r="P2" s="68" t="n"/>
      <c r="Q2" s="37" t="inlineStr">
        <is>
          <t xml:space="preserve">UNİTE :   -   </t>
        </is>
      </c>
      <c r="R2" s="69" t="n"/>
      <c r="S2" s="68" t="n"/>
    </row>
    <row r="3" customFormat="1" s="11">
      <c r="A3" s="6" t="n"/>
      <c r="D3" s="70" t="n"/>
      <c r="E3" s="70" t="n"/>
      <c r="G3" s="71" t="n"/>
      <c r="H3" s="70" t="n"/>
      <c r="P3" s="71" t="n"/>
      <c r="Q3" s="70" t="n"/>
      <c r="S3" s="71" t="n"/>
    </row>
    <row r="4" customFormat="1" s="11">
      <c r="A4" s="6" t="n"/>
      <c r="D4" s="70" t="n"/>
      <c r="E4" s="70" t="n"/>
      <c r="G4" s="71" t="n"/>
      <c r="H4" s="70" t="n"/>
      <c r="P4" s="71" t="n"/>
      <c r="Q4" s="70" t="n"/>
      <c r="S4" s="71" t="n"/>
    </row>
    <row r="5" customFormat="1" s="11">
      <c r="A5" s="6" t="n"/>
      <c r="D5" s="79" t="n"/>
      <c r="E5" s="72" t="n"/>
      <c r="F5" s="73" t="n"/>
      <c r="G5" s="74" t="n"/>
      <c r="H5" s="72" t="n"/>
      <c r="I5" s="73" t="n"/>
      <c r="J5" s="73" t="n"/>
      <c r="K5" s="73" t="n"/>
      <c r="L5" s="73" t="n"/>
      <c r="M5" s="73" t="n"/>
      <c r="N5" s="73" t="n"/>
      <c r="O5" s="73" t="n"/>
      <c r="P5" s="74" t="n"/>
      <c r="Q5" s="72" t="n"/>
      <c r="R5" s="73" t="n"/>
      <c r="S5" s="74" t="n"/>
    </row>
    <row r="6" ht="15" customFormat="1" customHeight="1" s="11">
      <c r="A6" s="6" t="n"/>
      <c r="D6" s="75" t="inlineStr">
        <is>
          <t>MEHMET İRFAN GÜLER PETROL ÜRETİM İSTASYONU DETAY MÜHENDİSLİK İŞİ</t>
        </is>
      </c>
      <c r="E6" s="69" t="n"/>
      <c r="F6" s="69" t="n"/>
      <c r="G6" s="76" t="n"/>
      <c r="H6" s="39" t="inlineStr">
        <is>
          <t xml:space="preserve">DOC. NO.: </t>
        </is>
      </c>
      <c r="I6" s="39" t="inlineStr">
        <is>
          <t>KEY199-PIP-MTO-0002</t>
        </is>
      </c>
      <c r="J6" s="69" t="n"/>
      <c r="K6" s="69" t="n"/>
      <c r="L6" s="69" t="n"/>
      <c r="M6" s="69" t="n"/>
      <c r="N6" s="69" t="n"/>
      <c r="O6" s="69" t="n"/>
      <c r="P6" s="68" t="n"/>
      <c r="Q6" s="38" t="inlineStr">
        <is>
          <t>REV</t>
        </is>
      </c>
      <c r="R6" s="38" t="n">
        <v>0</v>
      </c>
      <c r="S6" s="36" t="inlineStr">
        <is>
          <t>Sayfa
2 of 2</t>
        </is>
      </c>
    </row>
    <row r="7" customFormat="1" s="11">
      <c r="A7" s="13" t="n"/>
      <c r="C7" s="80" t="n"/>
      <c r="D7" s="79" t="n"/>
      <c r="E7" s="80" t="n"/>
      <c r="F7" s="80" t="n"/>
      <c r="G7" s="81" t="n"/>
      <c r="H7" s="89" t="n"/>
      <c r="I7" s="72" t="n"/>
      <c r="J7" s="73" t="n"/>
      <c r="K7" s="73" t="n"/>
      <c r="L7" s="73" t="n"/>
      <c r="M7" s="73" t="n"/>
      <c r="N7" s="73" t="n"/>
      <c r="O7" s="73" t="n"/>
      <c r="P7" s="74" t="n"/>
      <c r="Q7" s="89" t="n"/>
      <c r="R7" s="89" t="n"/>
      <c r="S7" s="89" t="n"/>
    </row>
    <row r="8" ht="21.95" customHeight="1">
      <c r="C8" s="40" t="inlineStr">
        <is>
          <t>ÖZEL POZ TEKLİF DÖKÜMANTASYONU</t>
        </is>
      </c>
      <c r="D8" s="85" t="n"/>
      <c r="E8" s="85" t="n"/>
      <c r="F8" s="85" t="n"/>
      <c r="G8" s="85" t="n"/>
      <c r="H8" s="85" t="n"/>
      <c r="I8" s="85" t="n"/>
      <c r="J8" s="85" t="n"/>
      <c r="K8" s="85" t="n"/>
      <c r="L8" s="85" t="n"/>
      <c r="M8" s="85" t="n"/>
      <c r="N8" s="85" t="n"/>
      <c r="O8" s="85" t="n"/>
      <c r="P8" s="85" t="n"/>
      <c r="Q8" s="85" t="n"/>
      <c r="R8" s="85" t="n"/>
      <c r="S8" s="84" t="n"/>
    </row>
    <row r="9" ht="38.1" customHeight="1">
      <c r="C9" s="9" t="inlineStr">
        <is>
          <t>NO</t>
        </is>
      </c>
      <c r="D9" s="18" t="inlineStr">
        <is>
          <t>DESCRIPTION</t>
        </is>
      </c>
      <c r="E9" s="9" t="inlineStr">
        <is>
          <t>BİRİM</t>
        </is>
      </c>
      <c r="F9" s="9" t="inlineStr">
        <is>
          <t>MİKTAR</t>
        </is>
      </c>
      <c r="G9" s="9" t="inlineStr">
        <is>
          <t>TEKLİF 1
TEKLİF BEDELİ</t>
        </is>
      </c>
      <c r="H9" s="9" t="inlineStr">
        <is>
          <t>TEKLİF 2
TEKLİF BEDELİ</t>
        </is>
      </c>
      <c r="I9" s="9" t="inlineStr">
        <is>
          <t>TEKLİF 3
TEKLİF BEDELİ</t>
        </is>
      </c>
      <c r="J9" s="9" t="inlineStr">
        <is>
          <t>TEKLİF 4
TEKLİF BEDELİ</t>
        </is>
      </c>
      <c r="K9" s="9" t="inlineStr">
        <is>
          <t>TEKLİF 5
TEKLİF BEDELİ</t>
        </is>
      </c>
      <c r="L9" s="9" t="inlineStr">
        <is>
          <t>ORTALAMA
FİYAT (₺)</t>
        </is>
      </c>
      <c r="M9" s="9" t="inlineStr">
        <is>
          <t>FİRMA 1
ADI</t>
        </is>
      </c>
      <c r="N9" s="9" t="inlineStr">
        <is>
          <t>FİRMA 2
ADI</t>
        </is>
      </c>
      <c r="O9" s="9" t="inlineStr">
        <is>
          <t>FİRMA 3
ADI</t>
        </is>
      </c>
      <c r="P9" s="9" t="inlineStr">
        <is>
          <t>FİRMA 4
ADI</t>
        </is>
      </c>
      <c r="Q9" s="9" t="inlineStr">
        <is>
          <t>FİRMA 5
ADI</t>
        </is>
      </c>
      <c r="R9" s="9" t="inlineStr">
        <is>
          <t>EN UYGUN
FİYAT</t>
        </is>
      </c>
      <c r="S9" s="9" t="inlineStr">
        <is>
          <t>EN UYGUN
FİRMA</t>
        </is>
      </c>
      <c r="T9" s="15" t="inlineStr">
        <is>
          <t>KATEGORİ</t>
        </is>
      </c>
      <c r="U9" s="22" t="n"/>
      <c r="W9" s="23" t="n"/>
    </row>
    <row r="10" ht="24" customHeight="1">
      <c r="A10" s="90" t="n">
        <v>1</v>
      </c>
      <c r="C10" s="9" t="inlineStr">
        <is>
          <t>OZEL-001</t>
        </is>
      </c>
      <c r="D10" s="61" t="inlineStr">
        <is>
          <t>M14x70, CS, STUD BOLT, WITH 2 HEAVY HEXAGONAL NUTS, ASTM A193 GR.B7 / A194 GR.2H, ASME B18.2.1 / B18.2.2, -</t>
        </is>
      </c>
      <c r="E10" s="60" t="inlineStr">
        <is>
          <t>ADET</t>
        </is>
      </c>
      <c r="F10" s="60" t="n"/>
      <c r="G10" s="91" t="n"/>
      <c r="H10" s="91" t="n"/>
      <c r="I10" s="91" t="n"/>
      <c r="J10" s="91" t="n"/>
      <c r="K10" s="91" t="n"/>
      <c r="L10" s="92">
        <f>IFERROR(AVERAGEIF(G10:K10,"&gt;0"),"-")</f>
        <v/>
      </c>
      <c r="M10" s="93" t="n"/>
      <c r="N10" s="94" t="n"/>
      <c r="O10" s="93" t="n"/>
      <c r="P10" s="93" t="n"/>
      <c r="Q10" s="93" t="n"/>
      <c r="R10" s="92">
        <f>IFERROR(MIN(G10:K10),"-")</f>
        <v/>
      </c>
      <c r="S10" s="9">
        <f>IFERROR(INDEX(M10:Q10,MATCH(MIN(G10:K10),G10:K10,0)),"-")</f>
        <v/>
      </c>
      <c r="T10" t="inlineStr">
        <is>
          <t>GASKET&amp;BOLT</t>
        </is>
      </c>
    </row>
    <row r="11" ht="24" customHeight="1">
      <c r="A11" s="90" t="n">
        <v>2</v>
      </c>
      <c r="C11" s="9" t="inlineStr">
        <is>
          <t>OZEL-002</t>
        </is>
      </c>
      <c r="D11" s="61" t="inlineStr">
        <is>
          <t>M14x80, CS, STUD BOLT, WITH 2 HEAVY HEXAGONAL NUTS, ASTM A193 GR.B7 / A194 GR.2H, ASME B18.2.1 / B18.2.2, -</t>
        </is>
      </c>
      <c r="E11" s="60" t="n"/>
      <c r="F11" s="60" t="n"/>
      <c r="G11" s="91" t="n"/>
      <c r="H11" s="91" t="n"/>
      <c r="I11" s="91" t="n"/>
      <c r="J11" s="91" t="n"/>
      <c r="K11" s="91" t="n"/>
      <c r="L11" s="92">
        <f>IFERROR(AVERAGEIF(G11:K11,"&gt;0"),"-")</f>
        <v/>
      </c>
      <c r="M11" s="93" t="n"/>
      <c r="N11" s="94" t="n"/>
      <c r="O11" s="93" t="n"/>
      <c r="P11" s="93" t="n"/>
      <c r="Q11" s="93" t="n"/>
      <c r="R11" s="92">
        <f>IFERROR(MIN(G11:K11),"-")</f>
        <v/>
      </c>
      <c r="S11" s="9">
        <f>IFERROR(INDEX(M11:Q11,MATCH(MIN(G11:K11),G11:K11,0)),"-")</f>
        <v/>
      </c>
      <c r="T11" t="inlineStr">
        <is>
          <t>GASKET&amp;BOLT</t>
        </is>
      </c>
    </row>
    <row r="12" ht="24" customHeight="1">
      <c r="A12" s="90" t="n">
        <v>3</v>
      </c>
      <c r="C12" s="9" t="inlineStr">
        <is>
          <t>OZEL-003</t>
        </is>
      </c>
      <c r="D12" s="61" t="inlineStr">
        <is>
          <t>M16x90, CS, STUD BOLT, WITH 2 HEAVY HEXAGONAL NUTS, ASTM A193 GR.B7 / A194 GR.2H, ASME B18.2.1 / B18.2.2, -</t>
        </is>
      </c>
      <c r="E12" s="60" t="n"/>
      <c r="F12" s="60" t="n"/>
      <c r="G12" s="91" t="n"/>
      <c r="H12" s="91" t="n"/>
      <c r="I12" s="91" t="n"/>
      <c r="J12" s="91" t="n"/>
      <c r="K12" s="91" t="n"/>
      <c r="L12" s="92">
        <f>IFERROR(AVERAGEIF(G12:K12,"&gt;0"),"-")</f>
        <v/>
      </c>
      <c r="M12" s="93" t="n"/>
      <c r="N12" s="94" t="n"/>
      <c r="O12" s="93" t="n"/>
      <c r="P12" s="93" t="n"/>
      <c r="Q12" s="93" t="n"/>
      <c r="R12" s="92">
        <f>IFERROR(MIN(G12:K12),"-")</f>
        <v/>
      </c>
      <c r="S12" s="9">
        <f>IFERROR(INDEX(M12:Q12,MATCH(MIN(G12:K12),G12:K12,0)),"-")</f>
        <v/>
      </c>
      <c r="T12" t="inlineStr">
        <is>
          <t>GASKET&amp;BOLT</t>
        </is>
      </c>
    </row>
    <row r="13" ht="24" customHeight="1">
      <c r="A13" s="90" t="n">
        <v>4</v>
      </c>
      <c r="C13" s="9" t="inlineStr">
        <is>
          <t>OZEL-004</t>
        </is>
      </c>
      <c r="D13" s="61" t="inlineStr">
        <is>
          <t>M16x100, CS, STUD BOLT, WITH 2 HEAVY HEXAGONAL NUTS, ASTM A193 GR.B7 / A194 GR.2H, ASME B18.2.1 / B18.2.2, -</t>
        </is>
      </c>
      <c r="E13" s="60" t="n"/>
      <c r="F13" s="60" t="n"/>
      <c r="G13" s="91" t="n"/>
      <c r="H13" s="91" t="n"/>
      <c r="I13" s="91" t="n"/>
      <c r="J13" s="91" t="n"/>
      <c r="K13" s="91" t="n"/>
      <c r="L13" s="92">
        <f>IFERROR(AVERAGEIF(G13:K13,"&gt;0"),"-")</f>
        <v/>
      </c>
      <c r="M13" s="93" t="n"/>
      <c r="N13" s="94" t="n"/>
      <c r="O13" s="93" t="n"/>
      <c r="P13" s="93" t="n"/>
      <c r="Q13" s="93" t="n"/>
      <c r="R13" s="92">
        <f>IFERROR(MIN(G13:K13),"-")</f>
        <v/>
      </c>
      <c r="S13" s="9">
        <f>IFERROR(INDEX(M13:Q13,MATCH(MIN(G13:K13),G13:K13,0)),"-")</f>
        <v/>
      </c>
      <c r="T13" t="inlineStr">
        <is>
          <t>GASKET&amp;BOLT</t>
        </is>
      </c>
    </row>
    <row r="14" ht="24" customHeight="1">
      <c r="A14" s="90" t="n">
        <v>5</v>
      </c>
      <c r="C14" s="9" t="inlineStr">
        <is>
          <t>OZEL-005</t>
        </is>
      </c>
      <c r="D14" s="61" t="inlineStr">
        <is>
          <t>M20x110, CS, STUD BOLT, WITH 2 HEAVY HEXAGONAL NUTS, ASTM A193 GR.B7 / A194 GR.2H, ASME B18.2.1 / B18.2.2, -</t>
        </is>
      </c>
      <c r="E14" s="60" t="n"/>
      <c r="F14" s="60" t="n"/>
      <c r="G14" s="91" t="n"/>
      <c r="H14" s="91" t="n"/>
      <c r="I14" s="91" t="n"/>
      <c r="J14" s="91" t="n"/>
      <c r="K14" s="91" t="n"/>
      <c r="L14" s="92">
        <f>IFERROR(AVERAGEIF(G14:K14,"&gt;0"),"-")</f>
        <v/>
      </c>
      <c r="M14" s="93" t="n"/>
      <c r="N14" s="94" t="n"/>
      <c r="O14" s="93" t="n"/>
      <c r="P14" s="93" t="n"/>
      <c r="Q14" s="93" t="n"/>
      <c r="R14" s="92">
        <f>IFERROR(MIN(G14:K14),"-")</f>
        <v/>
      </c>
      <c r="S14" s="9">
        <f>IFERROR(INDEX(M14:Q14,MATCH(MIN(G14:K14),G14:K14,0)),"-")</f>
        <v/>
      </c>
      <c r="T14" t="inlineStr">
        <is>
          <t>GASKET&amp;BOLT</t>
        </is>
      </c>
    </row>
    <row r="15" ht="24" customHeight="1">
      <c r="A15" s="90" t="n">
        <v>6</v>
      </c>
      <c r="C15" s="9" t="inlineStr">
        <is>
          <t>OZEL-006</t>
        </is>
      </c>
      <c r="D15" s="61" t="inlineStr">
        <is>
          <t>M20x120, CS, STUD BOLT, WITH 2 HEAVY HEXAGONAL NUTS, ASTM A193 GR.B7 / A194 GR.2H, ASME B18.2.1 / B18.2.2, -</t>
        </is>
      </c>
      <c r="E15" s="60" t="n"/>
      <c r="F15" s="60" t="n"/>
      <c r="G15" s="91" t="n"/>
      <c r="H15" s="91" t="n"/>
      <c r="I15" s="91" t="n"/>
      <c r="J15" s="91" t="n"/>
      <c r="K15" s="91" t="n"/>
      <c r="L15" s="92">
        <f>IFERROR(AVERAGEIF(G15:K15,"&gt;0"),"-")</f>
        <v/>
      </c>
      <c r="M15" s="93" t="n"/>
      <c r="N15" s="94" t="n"/>
      <c r="O15" s="93" t="n"/>
      <c r="P15" s="93" t="n"/>
      <c r="Q15" s="93" t="n"/>
      <c r="R15" s="92">
        <f>IFERROR(MIN(G15:K15),"-")</f>
        <v/>
      </c>
      <c r="S15" s="9">
        <f>IFERROR(INDEX(M15:Q15,MATCH(MIN(G15:K15),G15:K15,0)),"-")</f>
        <v/>
      </c>
      <c r="T15" t="inlineStr">
        <is>
          <t>GASKET&amp;BOLT</t>
        </is>
      </c>
    </row>
    <row r="16" ht="24" customHeight="1">
      <c r="A16" s="90" t="n">
        <v>7</v>
      </c>
      <c r="C16" s="9" t="inlineStr">
        <is>
          <t>OZEL-007</t>
        </is>
      </c>
      <c r="D16" s="61" t="inlineStr">
        <is>
          <t>M24x130, CS, STUD BOLT, WITH 2 HEAVY HEXAGONAL NUTS, ASTM A193 GR.B7 / A194 GR.2H, ASME B18.2.1 / B18.2.2, -</t>
        </is>
      </c>
      <c r="E16" s="60" t="n"/>
      <c r="F16" s="60" t="n"/>
      <c r="G16" s="91" t="n"/>
      <c r="H16" s="91" t="n"/>
      <c r="I16" s="91" t="n"/>
      <c r="J16" s="91" t="n"/>
      <c r="K16" s="91" t="n"/>
      <c r="L16" s="92">
        <f>IFERROR(AVERAGEIF(G16:K16,"&gt;0"),"-")</f>
        <v/>
      </c>
      <c r="M16" s="93" t="n"/>
      <c r="N16" s="94" t="n"/>
      <c r="O16" s="93" t="n"/>
      <c r="P16" s="93" t="n"/>
      <c r="Q16" s="93" t="n"/>
      <c r="R16" s="92">
        <f>IFERROR(MIN(G16:K16),"-")</f>
        <v/>
      </c>
      <c r="S16" s="9">
        <f>IFERROR(INDEX(M16:Q16,MATCH(MIN(G16:K16),G16:K16,0)),"-")</f>
        <v/>
      </c>
      <c r="T16" t="inlineStr">
        <is>
          <t>GASKET&amp;BOLT</t>
        </is>
      </c>
    </row>
    <row r="17" ht="24" customHeight="1">
      <c r="A17" s="90" t="n">
        <v>8</v>
      </c>
      <c r="C17" s="9" t="inlineStr">
        <is>
          <t>OZEL-008</t>
        </is>
      </c>
      <c r="D17" s="61" t="inlineStr">
        <is>
          <t>12", CS, ELBOW 45, BW, ASME B16.9, ASTM A234 WPB, 20</t>
        </is>
      </c>
      <c r="E17" s="60" t="n"/>
      <c r="F17" s="60" t="n"/>
      <c r="G17" s="95" t="n"/>
      <c r="H17" s="91" t="n"/>
      <c r="I17" s="91" t="n"/>
      <c r="J17" s="91" t="n"/>
      <c r="K17" s="91" t="n"/>
      <c r="L17" s="92">
        <f>IFERROR(AVERAGEIF(G17:K17,"&gt;0"),"-")</f>
        <v/>
      </c>
      <c r="M17" s="93" t="n"/>
      <c r="N17" s="93" t="n"/>
      <c r="O17" s="93" t="n"/>
      <c r="P17" s="93" t="n"/>
      <c r="Q17" s="93" t="n"/>
      <c r="R17" s="92">
        <f>IFERROR(MIN(G17:K17),"-")</f>
        <v/>
      </c>
      <c r="S17" s="9">
        <f>IFERROR(INDEX(M17:Q17,MATCH(MIN(G17:K17),G17:K17,0)),"-")</f>
        <v/>
      </c>
      <c r="T17" t="inlineStr">
        <is>
          <t>FİTTİNG</t>
        </is>
      </c>
    </row>
    <row r="18" ht="24" customHeight="1">
      <c r="A18" s="90" t="n">
        <v>9</v>
      </c>
      <c r="C18" s="9" t="inlineStr">
        <is>
          <t>OZEL-009</t>
        </is>
      </c>
      <c r="D18" s="61" t="inlineStr">
        <is>
          <t>12", CS, ELBOW 45, BW, ASME B16.9, ASTM A234 WPB, 40</t>
        </is>
      </c>
      <c r="E18" s="60" t="n"/>
      <c r="F18" s="60" t="n"/>
      <c r="G18" s="95" t="n"/>
      <c r="H18" s="91" t="n"/>
      <c r="I18" s="91" t="n"/>
      <c r="J18" s="91" t="n"/>
      <c r="K18" s="91" t="n"/>
      <c r="L18" s="92">
        <f>IFERROR(AVERAGEIF(G18:K18,"&gt;0"),"-")</f>
        <v/>
      </c>
      <c r="M18" s="93" t="n"/>
      <c r="N18" s="93" t="n"/>
      <c r="O18" s="93" t="n"/>
      <c r="P18" s="93" t="n"/>
      <c r="Q18" s="93" t="n"/>
      <c r="R18" s="92">
        <f>IFERROR(MIN(G18:K18),"-")</f>
        <v/>
      </c>
      <c r="S18" s="9">
        <f>IFERROR(INDEX(M18:Q18,MATCH(MIN(G18:K18),G18:K18,0)),"-")</f>
        <v/>
      </c>
      <c r="T18" t="inlineStr">
        <is>
          <t>FİTTİNG</t>
        </is>
      </c>
    </row>
    <row r="19" ht="24" customHeight="1">
      <c r="A19" s="90" t="n">
        <v>10</v>
      </c>
      <c r="C19" s="9" t="inlineStr">
        <is>
          <t>OZEL-010</t>
        </is>
      </c>
      <c r="D19" s="61" t="inlineStr">
        <is>
          <t>8", CS, ELBOW 45, BW, ASME B16.9, ASTM A234 WPB, 20</t>
        </is>
      </c>
      <c r="E19" s="60" t="n"/>
      <c r="F19" s="60" t="n"/>
      <c r="G19" s="91" t="n"/>
      <c r="H19" s="91" t="n"/>
      <c r="I19" s="91" t="n"/>
      <c r="J19" s="91" t="n"/>
      <c r="K19" s="91" t="n"/>
      <c r="L19" s="92">
        <f>IFERROR(AVERAGEIF(G19:K19,"&gt;0"),"-")</f>
        <v/>
      </c>
      <c r="M19" s="93" t="n"/>
      <c r="N19" s="93" t="n"/>
      <c r="O19" s="93" t="n"/>
      <c r="P19" s="93" t="n"/>
      <c r="Q19" s="93" t="n"/>
      <c r="R19" s="92">
        <f>IFERROR(MIN(G19:K19),"-")</f>
        <v/>
      </c>
      <c r="S19" s="9">
        <f>IFERROR(INDEX(M19:Q19,MATCH(MIN(G19:K19),G19:K19,0)),"-")</f>
        <v/>
      </c>
      <c r="T19" t="inlineStr">
        <is>
          <t>FİTTİNG</t>
        </is>
      </c>
    </row>
    <row r="20" ht="24" customHeight="1">
      <c r="A20" s="90" t="n">
        <v>11</v>
      </c>
      <c r="C20" s="9" t="inlineStr">
        <is>
          <t>OZEL-011</t>
        </is>
      </c>
      <c r="D20" s="61" t="inlineStr">
        <is>
          <t>8", CS, ELBOW 45, BW, ASME B16.9, ASTM A234 WPB, 40</t>
        </is>
      </c>
      <c r="E20" s="60" t="n"/>
      <c r="F20" s="60" t="n"/>
      <c r="G20" s="91" t="n"/>
      <c r="H20" s="91" t="n"/>
      <c r="I20" s="91" t="n"/>
      <c r="J20" s="91" t="n"/>
      <c r="K20" s="91" t="n"/>
      <c r="L20" s="92">
        <f>IFERROR(AVERAGEIF(G20:K20,"&gt;0"),"-")</f>
        <v/>
      </c>
      <c r="M20" s="93" t="n"/>
      <c r="N20" s="93" t="n"/>
      <c r="O20" s="93" t="n"/>
      <c r="P20" s="93" t="n"/>
      <c r="Q20" s="93" t="n"/>
      <c r="R20" s="92">
        <f>IFERROR(MIN(G20:K20),"-")</f>
        <v/>
      </c>
      <c r="S20" s="9">
        <f>IFERROR(INDEX(M20:Q20,MATCH(MIN(G20:K20),G20:K20,0)),"-")</f>
        <v/>
      </c>
      <c r="T20" t="inlineStr">
        <is>
          <t>FİTTİNG</t>
        </is>
      </c>
    </row>
    <row r="21" ht="24" customHeight="1">
      <c r="A21" s="90" t="n">
        <v>12</v>
      </c>
      <c r="C21" s="9" t="inlineStr">
        <is>
          <t>OZEL-012</t>
        </is>
      </c>
      <c r="D21" s="61" t="inlineStr">
        <is>
          <t>12", CS, ELBOW 90, BW, ASME B16.9, ASTM A234 GR.WPB, 20</t>
        </is>
      </c>
      <c r="E21" s="60" t="n"/>
      <c r="F21" s="60" t="n"/>
      <c r="G21" s="91" t="n"/>
      <c r="H21" s="91" t="n"/>
      <c r="I21" s="91" t="n"/>
      <c r="J21" s="91" t="n"/>
      <c r="K21" s="91" t="n"/>
      <c r="L21" s="92">
        <f>IFERROR(AVERAGEIF(G21:K21,"&gt;0"),"-")</f>
        <v/>
      </c>
      <c r="M21" s="93" t="n"/>
      <c r="N21" s="93" t="n"/>
      <c r="O21" s="93" t="n"/>
      <c r="P21" s="93" t="n"/>
      <c r="Q21" s="93" t="n"/>
      <c r="R21" s="92">
        <f>IFERROR(MIN(G21:K21),"-")</f>
        <v/>
      </c>
      <c r="S21" s="9">
        <f>IFERROR(INDEX(M21:Q21,MATCH(MIN(G21:K21),G21:K21,0)),"-")</f>
        <v/>
      </c>
      <c r="T21" t="inlineStr">
        <is>
          <t>FİTTİNG</t>
        </is>
      </c>
    </row>
    <row r="22" ht="24" customHeight="1">
      <c r="A22" s="90" t="n">
        <v>13</v>
      </c>
      <c r="C22" s="9" t="inlineStr">
        <is>
          <t>OZEL-013</t>
        </is>
      </c>
      <c r="D22" s="61" t="inlineStr">
        <is>
          <t>12", CS, ELBOW 90, BW, ASME B16.9, ASTM A234 GR.WPB, 40</t>
        </is>
      </c>
      <c r="E22" s="60" t="n"/>
      <c r="F22" s="60" t="n"/>
      <c r="G22" s="91" t="n"/>
      <c r="H22" s="91" t="n"/>
      <c r="I22" s="91" t="n"/>
      <c r="J22" s="91" t="n"/>
      <c r="K22" s="91" t="n"/>
      <c r="L22" s="92">
        <f>IFERROR(AVERAGEIF(G22:K22,"&gt;0"),"-")</f>
        <v/>
      </c>
      <c r="M22" s="93" t="n"/>
      <c r="N22" s="93" t="n"/>
      <c r="O22" s="93" t="n"/>
      <c r="P22" s="93" t="n"/>
      <c r="Q22" s="93" t="n"/>
      <c r="R22" s="92">
        <f>IFERROR(MIN(G22:K22),"-")</f>
        <v/>
      </c>
      <c r="S22" s="9">
        <f>IFERROR(INDEX(M22:Q22,MATCH(MIN(G22:K22),G22:K22,0)),"-")</f>
        <v/>
      </c>
      <c r="T22" t="inlineStr">
        <is>
          <t>FİTTİNG</t>
        </is>
      </c>
    </row>
    <row r="23" ht="24" customHeight="1">
      <c r="A23" s="90" t="n">
        <v>14</v>
      </c>
      <c r="C23" s="9" t="inlineStr">
        <is>
          <t>OZEL-014</t>
        </is>
      </c>
      <c r="D23" s="61" t="inlineStr">
        <is>
          <t>3", CS, ELBOW 90, BW, ASME B16.9, ASTM A234 GR.WPB, 40</t>
        </is>
      </c>
      <c r="E23" s="60" t="n"/>
      <c r="F23" s="60" t="n"/>
      <c r="G23" s="91" t="n"/>
      <c r="H23" s="91" t="n"/>
      <c r="I23" s="91" t="n"/>
      <c r="J23" s="91" t="n"/>
      <c r="K23" s="91" t="n"/>
      <c r="L23" s="92">
        <f>IFERROR(AVERAGEIF(G23:K23,"&gt;0"),"-")</f>
        <v/>
      </c>
      <c r="M23" s="93" t="n"/>
      <c r="N23" s="93" t="n"/>
      <c r="O23" s="93" t="n"/>
      <c r="P23" s="93" t="n"/>
      <c r="Q23" s="93" t="n"/>
      <c r="R23" s="92">
        <f>IFERROR(MIN(G23:K23),"-")</f>
        <v/>
      </c>
      <c r="S23" s="9">
        <f>IFERROR(INDEX(M23:Q23,MATCH(MIN(G23:K23),G23:K23,0)),"-")</f>
        <v/>
      </c>
      <c r="T23" t="inlineStr">
        <is>
          <t>FİTTİNG</t>
        </is>
      </c>
    </row>
    <row r="24" ht="24" customHeight="1">
      <c r="A24" s="90" t="n">
        <v>15</v>
      </c>
      <c r="C24" s="9" t="inlineStr">
        <is>
          <t>OZEL-015</t>
        </is>
      </c>
      <c r="D24" s="61" t="inlineStr">
        <is>
          <t>3/4", CS, ELBOW 90, SW, 3000 LB, ASME B16.11, ASTM A105, 3000</t>
        </is>
      </c>
      <c r="E24" s="60" t="n"/>
      <c r="F24" s="60" t="n"/>
      <c r="G24" s="91" t="n"/>
      <c r="H24" s="91" t="n"/>
      <c r="I24" s="91" t="n"/>
      <c r="J24" s="91" t="n"/>
      <c r="K24" s="91" t="n"/>
      <c r="L24" s="92">
        <f>IFERROR(AVERAGEIF(G24:K24,"&gt;0"),"-")</f>
        <v/>
      </c>
      <c r="M24" s="93" t="n"/>
      <c r="N24" s="93" t="n"/>
      <c r="O24" s="93" t="n"/>
      <c r="P24" s="93" t="n"/>
      <c r="Q24" s="93" t="n"/>
      <c r="R24" s="92">
        <f>IFERROR(MIN(G24:K24),"-")</f>
        <v/>
      </c>
      <c r="S24" s="9">
        <f>IFERROR(INDEX(M24:Q24,MATCH(MIN(G24:K24),G24:K24,0)),"-")</f>
        <v/>
      </c>
      <c r="T24" t="inlineStr">
        <is>
          <t>FİTTİNG</t>
        </is>
      </c>
    </row>
    <row r="25" ht="24" customHeight="1">
      <c r="A25" s="90" t="n">
        <v>16</v>
      </c>
      <c r="C25" s="9" t="inlineStr">
        <is>
          <t>OZEL-016</t>
        </is>
      </c>
      <c r="D25" s="61" t="inlineStr">
        <is>
          <t>4", CS, ELBOW 90, BW, ASME B16.9, ASTM A234 GR.WPB, 40</t>
        </is>
      </c>
      <c r="E25" s="60" t="n"/>
      <c r="F25" s="60" t="n"/>
      <c r="G25" s="91" t="n"/>
      <c r="H25" s="91" t="n"/>
      <c r="I25" s="91" t="n"/>
      <c r="J25" s="91" t="n"/>
      <c r="K25" s="91" t="n"/>
      <c r="L25" s="92">
        <f>IFERROR(AVERAGEIF(G25:K25,"&gt;0"),"-")</f>
        <v/>
      </c>
      <c r="M25" s="93" t="n"/>
      <c r="N25" s="93" t="n"/>
      <c r="O25" s="93" t="n"/>
      <c r="P25" s="93" t="n"/>
      <c r="Q25" s="93" t="n"/>
      <c r="R25" s="92">
        <f>IFERROR(MIN(G25:K25),"-")</f>
        <v/>
      </c>
      <c r="S25" s="9">
        <f>IFERROR(INDEX(M25:Q25,MATCH(MIN(G25:K25),G25:K25,0)),"-")</f>
        <v/>
      </c>
      <c r="T25" t="inlineStr">
        <is>
          <t>FİTTİNG</t>
        </is>
      </c>
    </row>
    <row r="26" ht="24" customHeight="1">
      <c r="A26" s="90" t="n">
        <v>17</v>
      </c>
      <c r="C26" s="9" t="inlineStr">
        <is>
          <t>OZEL-017</t>
        </is>
      </c>
      <c r="D26" s="61" t="inlineStr">
        <is>
          <t>4", CS, ELBOW 90, BW, SEAMLESS, ASME B16.9, ASTM A234 GR.WPB, 40</t>
        </is>
      </c>
      <c r="E26" s="60" t="n"/>
      <c r="F26" s="60" t="n"/>
      <c r="G26" s="91" t="n"/>
      <c r="H26" s="91" t="n"/>
      <c r="I26" s="91" t="n"/>
      <c r="J26" s="91" t="n"/>
      <c r="K26" s="91" t="n"/>
      <c r="L26" s="92">
        <f>IFERROR(AVERAGEIF(G26:K26,"&gt;0"),"-")</f>
        <v/>
      </c>
      <c r="M26" s="93" t="n"/>
      <c r="N26" s="93" t="n"/>
      <c r="O26" s="93" t="n"/>
      <c r="P26" s="93" t="n"/>
      <c r="Q26" s="93" t="n"/>
      <c r="R26" s="92">
        <f>IFERROR(MIN(G26:K26),"-")</f>
        <v/>
      </c>
      <c r="S26" s="9">
        <f>IFERROR(INDEX(M26:Q26,MATCH(MIN(G26:K26),G26:K26,0)),"-")</f>
        <v/>
      </c>
      <c r="T26" t="inlineStr">
        <is>
          <t>FİTTİNG</t>
        </is>
      </c>
    </row>
    <row r="27" ht="24" customHeight="1">
      <c r="A27" s="90" t="n">
        <v>18</v>
      </c>
      <c r="C27" s="9" t="inlineStr">
        <is>
          <t>OZEL-018</t>
        </is>
      </c>
      <c r="D27" s="61" t="inlineStr">
        <is>
          <t>6", CS, ELBOW 90, BW, ASME B16.9, ASTM A234 GR.WPB, 40</t>
        </is>
      </c>
      <c r="E27" s="60" t="n"/>
      <c r="F27" s="60" t="n"/>
      <c r="G27" s="91" t="n"/>
      <c r="H27" s="91" t="n"/>
      <c r="I27" s="91" t="n"/>
      <c r="J27" s="91" t="n"/>
      <c r="K27" s="91" t="n"/>
      <c r="L27" s="92">
        <f>IFERROR(AVERAGEIF(G27:K27,"&gt;0"),"-")</f>
        <v/>
      </c>
      <c r="M27" s="93" t="n"/>
      <c r="N27" s="93" t="n"/>
      <c r="O27" s="93" t="n"/>
      <c r="P27" s="93" t="n"/>
      <c r="Q27" s="93" t="n"/>
      <c r="R27" s="92">
        <f>IFERROR(MIN(G27:K27),"-")</f>
        <v/>
      </c>
      <c r="S27" s="9">
        <f>IFERROR(INDEX(M27:Q27,MATCH(MIN(G27:K27),G27:K27,0)),"-")</f>
        <v/>
      </c>
      <c r="T27" t="inlineStr">
        <is>
          <t>FİTTİNG</t>
        </is>
      </c>
    </row>
    <row r="28" ht="24" customHeight="1">
      <c r="A28" s="90" t="n">
        <v>19</v>
      </c>
      <c r="C28" s="9" t="inlineStr">
        <is>
          <t>OZEL-019</t>
        </is>
      </c>
      <c r="D28" s="61" t="inlineStr">
        <is>
          <t>8", CS, ELBOW 90, BW, ASME B16.9, ASTM A234 GR.WPB, 20</t>
        </is>
      </c>
      <c r="E28" s="60" t="n"/>
      <c r="F28" s="60" t="n"/>
      <c r="G28" s="91" t="n"/>
      <c r="H28" s="91" t="n"/>
      <c r="I28" s="91" t="n"/>
      <c r="J28" s="91" t="n"/>
      <c r="K28" s="91" t="n"/>
      <c r="L28" s="92">
        <f>IFERROR(AVERAGEIF(G28:K28,"&gt;0"),"-")</f>
        <v/>
      </c>
      <c r="M28" s="93" t="n"/>
      <c r="N28" s="93" t="n"/>
      <c r="O28" s="93" t="n"/>
      <c r="P28" s="93" t="n"/>
      <c r="Q28" s="93" t="n"/>
      <c r="R28" s="92">
        <f>IFERROR(MIN(G28:K28),"-")</f>
        <v/>
      </c>
      <c r="S28" s="9">
        <f>IFERROR(INDEX(M28:Q28,MATCH(MIN(G28:K28),G28:K28,0)),"-")</f>
        <v/>
      </c>
      <c r="T28" t="inlineStr">
        <is>
          <t>FİTTİNG</t>
        </is>
      </c>
    </row>
    <row r="29" ht="24" customHeight="1">
      <c r="A29" s="90" t="n">
        <v>20</v>
      </c>
      <c r="C29" s="9" t="inlineStr">
        <is>
          <t>OZEL-020</t>
        </is>
      </c>
      <c r="D29" s="61" t="inlineStr">
        <is>
          <t>8", CS, ELBOW 90, BW, ASME B16.9, ASTM A234 GR.WPB, 40</t>
        </is>
      </c>
      <c r="E29" s="60" t="n"/>
      <c r="F29" s="60" t="n"/>
      <c r="G29" s="91" t="n"/>
      <c r="H29" s="91" t="n"/>
      <c r="I29" s="91" t="n"/>
      <c r="J29" s="91" t="n"/>
      <c r="K29" s="91" t="n"/>
      <c r="L29" s="92">
        <f>IFERROR(AVERAGEIF(G29:K29,"&gt;0"),"-")</f>
        <v/>
      </c>
      <c r="M29" s="93" t="n"/>
      <c r="N29" s="93" t="n"/>
      <c r="O29" s="93" t="n"/>
      <c r="P29" s="93" t="n"/>
      <c r="Q29" s="93" t="n"/>
      <c r="R29" s="92">
        <f>IFERROR(MIN(G29:K29),"-")</f>
        <v/>
      </c>
      <c r="S29" s="9">
        <f>IFERROR(INDEX(M29:Q29,MATCH(MIN(G29:K29),G29:K29,0)),"-")</f>
        <v/>
      </c>
      <c r="T29" t="inlineStr">
        <is>
          <t>FİTTİNG</t>
        </is>
      </c>
    </row>
    <row r="30" ht="24" customHeight="1">
      <c r="A30" s="90" t="n">
        <v>21</v>
      </c>
      <c r="C30" s="9" t="inlineStr">
        <is>
          <t>OZEL-021</t>
        </is>
      </c>
      <c r="D30" s="61" t="inlineStr">
        <is>
          <t>8", CS, ELBOW 90, BW, SEAMLESS, ASME B16.9, ASTM A234 GR.WPB, 40</t>
        </is>
      </c>
      <c r="E30" s="60" t="n"/>
      <c r="F30" s="60" t="n"/>
      <c r="G30" s="91" t="n"/>
      <c r="H30" s="91" t="n"/>
      <c r="I30" s="91" t="n"/>
      <c r="J30" s="91" t="n"/>
      <c r="K30" s="91" t="n"/>
      <c r="L30" s="92">
        <f>IFERROR(AVERAGEIF(G30:K30,"&gt;0"),"-")</f>
        <v/>
      </c>
      <c r="M30" s="93" t="n"/>
      <c r="N30" s="93" t="n"/>
      <c r="O30" s="93" t="n"/>
      <c r="P30" s="93" t="n"/>
      <c r="Q30" s="93" t="n"/>
      <c r="R30" s="92">
        <f>IFERROR(MIN(G30:K30),"-")</f>
        <v/>
      </c>
      <c r="S30" s="9">
        <f>IFERROR(INDEX(M30:Q30,MATCH(MIN(G30:K30),G30:K30,0)),"-")</f>
        <v/>
      </c>
      <c r="T30" t="inlineStr">
        <is>
          <t>FİTTİNG</t>
        </is>
      </c>
    </row>
    <row r="31" ht="24" customHeight="1">
      <c r="A31" s="90" t="n">
        <v>22</v>
      </c>
      <c r="C31" s="9" t="inlineStr">
        <is>
          <t>OZEL-022</t>
        </is>
      </c>
      <c r="D31" s="61" t="inlineStr">
        <is>
          <t>12", CS, FLANGE BLIND, 150 LB, RF, ASME B16.5, ASTM A234 GR WPB, 150</t>
        </is>
      </c>
      <c r="E31" s="60" t="n"/>
      <c r="F31" s="60" t="n"/>
      <c r="G31" s="91" t="n"/>
      <c r="H31" s="91" t="n"/>
      <c r="I31" s="91" t="n"/>
      <c r="J31" s="91" t="n"/>
      <c r="K31" s="91" t="n"/>
      <c r="L31" s="92">
        <f>IFERROR(AVERAGEIF(G31:K31,"&gt;0"),"-")</f>
        <v/>
      </c>
      <c r="M31" s="93" t="n"/>
      <c r="N31" s="93" t="n"/>
      <c r="O31" s="93" t="n"/>
      <c r="P31" s="93" t="n"/>
      <c r="Q31" s="93" t="n"/>
      <c r="R31" s="92">
        <f>IFERROR(MIN(G31:K31),"-")</f>
        <v/>
      </c>
      <c r="S31" s="9">
        <f>IFERROR(INDEX(M31:Q31,MATCH(MIN(G31:K31),G31:K31,0)),"-")</f>
        <v/>
      </c>
      <c r="T31" t="inlineStr">
        <is>
          <t>FLANS</t>
        </is>
      </c>
    </row>
    <row r="32" ht="24" customHeight="1">
      <c r="A32" s="90" t="n">
        <v>23</v>
      </c>
      <c r="C32" s="9" t="inlineStr">
        <is>
          <t>OZEL-023</t>
        </is>
      </c>
      <c r="D32" s="61" t="inlineStr">
        <is>
          <t>12", CS, FLANGE BLIND, 150 LB, RF, ASTM A 105, ASME B16.5, 150</t>
        </is>
      </c>
      <c r="E32" s="60" t="n"/>
      <c r="F32" s="60" t="n"/>
      <c r="G32" s="91" t="n"/>
      <c r="H32" s="91" t="n"/>
      <c r="I32" s="91" t="n"/>
      <c r="J32" s="91" t="n"/>
      <c r="K32" s="91" t="n"/>
      <c r="L32" s="92">
        <f>IFERROR(AVERAGEIF(G32:K32,"&gt;0"),"-")</f>
        <v/>
      </c>
      <c r="M32" s="93" t="n"/>
      <c r="N32" s="93" t="n"/>
      <c r="O32" s="93" t="n"/>
      <c r="P32" s="93" t="n"/>
      <c r="Q32" s="93" t="n"/>
      <c r="R32" s="92">
        <f>IFERROR(MIN(G32:K32),"-")</f>
        <v/>
      </c>
      <c r="S32" s="9">
        <f>IFERROR(INDEX(M32:Q32,MATCH(MIN(G32:K32),G32:K32,0)),"-")</f>
        <v/>
      </c>
      <c r="T32" t="inlineStr">
        <is>
          <t>FLANS</t>
        </is>
      </c>
    </row>
    <row r="33" ht="24" customHeight="1">
      <c r="A33" s="90" t="n">
        <v>24</v>
      </c>
      <c r="C33" s="9" t="inlineStr">
        <is>
          <t>OZEL-024</t>
        </is>
      </c>
      <c r="D33" s="61" t="inlineStr">
        <is>
          <t>3", CS, FLANGE BLIND, 150 LB, RF, ASME B16.5, ASTM A234 GR WPB, 150</t>
        </is>
      </c>
      <c r="E33" s="60" t="n"/>
      <c r="F33" s="60" t="n"/>
      <c r="G33" s="91" t="n"/>
      <c r="H33" s="91" t="n"/>
      <c r="I33" s="91" t="n"/>
      <c r="J33" s="91" t="n"/>
      <c r="K33" s="91" t="n"/>
      <c r="L33" s="92">
        <f>IFERROR(AVERAGEIF(G33:K33,"&gt;0"),"-")</f>
        <v/>
      </c>
      <c r="M33" s="93" t="n"/>
      <c r="N33" s="93" t="n"/>
      <c r="O33" s="93" t="n"/>
      <c r="P33" s="93" t="n"/>
      <c r="Q33" s="93" t="n"/>
      <c r="R33" s="92">
        <f>IFERROR(MIN(G33:K33),"-")</f>
        <v/>
      </c>
      <c r="S33" s="9">
        <f>IFERROR(INDEX(M33:Q33,MATCH(MIN(G33:K33),G33:K33,0)),"-")</f>
        <v/>
      </c>
      <c r="T33" t="inlineStr">
        <is>
          <t>FLANS</t>
        </is>
      </c>
    </row>
    <row r="34" ht="24" customHeight="1">
      <c r="A34" s="90" t="n">
        <v>25</v>
      </c>
      <c r="C34" s="9" t="inlineStr">
        <is>
          <t>OZEL-025</t>
        </is>
      </c>
      <c r="D34" s="61" t="inlineStr">
        <is>
          <t>4", CS, FLANGE BLIND, 150 LB, RF, ASME B16.5, ASTM A234 GR WPB, 150</t>
        </is>
      </c>
      <c r="E34" s="60" t="n"/>
      <c r="F34" s="60" t="n"/>
      <c r="G34" s="91" t="n"/>
      <c r="H34" s="91" t="n"/>
      <c r="I34" s="91" t="n"/>
      <c r="J34" s="91" t="n"/>
      <c r="K34" s="91" t="n"/>
      <c r="L34" s="92">
        <f>IFERROR(AVERAGEIF(G34:K34,"&gt;0"),"-")</f>
        <v/>
      </c>
      <c r="M34" s="93" t="n"/>
      <c r="N34" s="93" t="n"/>
      <c r="O34" s="93" t="n"/>
      <c r="P34" s="93" t="n"/>
      <c r="Q34" s="93" t="n"/>
      <c r="R34" s="92">
        <f>IFERROR(MIN(G34:K34),"-")</f>
        <v/>
      </c>
      <c r="S34" s="9">
        <f>IFERROR(INDEX(M34:Q34,MATCH(MIN(G34:K34),G34:K34,0)),"-")</f>
        <v/>
      </c>
      <c r="T34" t="inlineStr">
        <is>
          <t>FLANS</t>
        </is>
      </c>
    </row>
    <row r="35" ht="24" customHeight="1">
      <c r="A35" s="90" t="n">
        <v>26</v>
      </c>
      <c r="C35" s="9" t="inlineStr">
        <is>
          <t>OZEL-026</t>
        </is>
      </c>
      <c r="D35" s="61" t="inlineStr">
        <is>
          <t>4", CS, FLANGE BLIND, 150 LB, RF, ASTM A 105, ASME B16.5, 150</t>
        </is>
      </c>
      <c r="E35" s="60" t="n"/>
      <c r="F35" s="60" t="n"/>
      <c r="G35" s="91" t="n"/>
      <c r="H35" s="91" t="n"/>
      <c r="I35" s="91" t="n"/>
      <c r="J35" s="91" t="n"/>
      <c r="K35" s="91" t="n"/>
      <c r="L35" s="92">
        <f>IFERROR(AVERAGEIF(G35:K35,"&gt;0"),"-")</f>
        <v/>
      </c>
      <c r="M35" s="93" t="n"/>
      <c r="N35" s="93" t="n"/>
      <c r="O35" s="93" t="n"/>
      <c r="P35" s="93" t="n"/>
      <c r="Q35" s="93" t="n"/>
      <c r="R35" s="92">
        <f>IFERROR(MIN(G35:K35),"-")</f>
        <v/>
      </c>
      <c r="S35" s="9">
        <f>IFERROR(INDEX(M35:Q35,MATCH(MIN(G35:K35),G35:K35,0)),"-")</f>
        <v/>
      </c>
      <c r="T35" t="inlineStr">
        <is>
          <t>FLANS</t>
        </is>
      </c>
    </row>
    <row r="36" ht="24" customHeight="1">
      <c r="A36" s="90" t="n">
        <v>27</v>
      </c>
      <c r="C36" s="9" t="inlineStr">
        <is>
          <t>OZEL-027</t>
        </is>
      </c>
      <c r="D36" s="61" t="inlineStr">
        <is>
          <t>4", CS, FLANGE BLIND, 300 LB SCH 40, RF, ASME B16.5, ASTM A105, 300</t>
        </is>
      </c>
      <c r="E36" s="60" t="n"/>
      <c r="F36" s="60" t="n"/>
      <c r="G36" s="91" t="n"/>
      <c r="H36" s="91" t="n"/>
      <c r="I36" s="91" t="n"/>
      <c r="J36" s="91" t="n"/>
      <c r="K36" s="91" t="n"/>
      <c r="L36" s="92">
        <f>IFERROR(AVERAGEIF(G36:K36,"&gt;0"),"-")</f>
        <v/>
      </c>
      <c r="M36" s="93" t="n"/>
      <c r="N36" s="93" t="n"/>
      <c r="O36" s="93" t="n"/>
      <c r="P36" s="93" t="n"/>
      <c r="Q36" s="93" t="n"/>
      <c r="R36" s="92">
        <f>IFERROR(MIN(G36:K36),"-")</f>
        <v/>
      </c>
      <c r="S36" s="9">
        <f>IFERROR(INDEX(M36:Q36,MATCH(MIN(G36:K36),G36:K36,0)),"-")</f>
        <v/>
      </c>
      <c r="T36" t="inlineStr">
        <is>
          <t>FLANS</t>
        </is>
      </c>
    </row>
    <row r="37" ht="24" customHeight="1">
      <c r="A37" s="90" t="n">
        <v>28</v>
      </c>
      <c r="C37" s="9" t="inlineStr">
        <is>
          <t>OZEL-028</t>
        </is>
      </c>
      <c r="D37" s="61" t="inlineStr">
        <is>
          <t>6", CS, FLANGE BLIND, 150 LB, RF, ASME B16.5, ASTM A234 GR WPB, 150</t>
        </is>
      </c>
      <c r="E37" s="60" t="n"/>
      <c r="F37" s="60" t="n"/>
      <c r="G37" s="91" t="n"/>
      <c r="H37" s="91" t="n"/>
      <c r="I37" s="91" t="n"/>
      <c r="J37" s="91" t="n"/>
      <c r="K37" s="91" t="n"/>
      <c r="L37" s="92">
        <f>IFERROR(AVERAGEIF(G37:K37,"&gt;0"),"-")</f>
        <v/>
      </c>
      <c r="M37" s="93" t="n"/>
      <c r="N37" s="93" t="n"/>
      <c r="O37" s="93" t="n"/>
      <c r="P37" s="93" t="n"/>
      <c r="Q37" s="93" t="n"/>
      <c r="R37" s="92">
        <f>IFERROR(MIN(G37:K37),"-")</f>
        <v/>
      </c>
      <c r="S37" s="9">
        <f>IFERROR(INDEX(M37:Q37,MATCH(MIN(G37:K37),G37:K37,0)),"-")</f>
        <v/>
      </c>
      <c r="T37" t="inlineStr">
        <is>
          <t>FLANS</t>
        </is>
      </c>
    </row>
    <row r="38" ht="24" customHeight="1">
      <c r="A38" s="90" t="n">
        <v>29</v>
      </c>
      <c r="C38" s="9" t="inlineStr">
        <is>
          <t>OZEL-029</t>
        </is>
      </c>
      <c r="D38" s="61" t="inlineStr">
        <is>
          <t>6", CS, FLANGE BLIND, 150 LB, RF, ASTM A 105, ASME B16.5, 150</t>
        </is>
      </c>
      <c r="E38" s="60" t="n"/>
      <c r="F38" s="60" t="n"/>
      <c r="G38" s="91" t="n"/>
      <c r="H38" s="91" t="n"/>
      <c r="I38" s="91" t="n"/>
      <c r="J38" s="91" t="n"/>
      <c r="K38" s="91" t="n"/>
      <c r="L38" s="92">
        <f>IFERROR(AVERAGEIF(G38:K38,"&gt;0"),"-")</f>
        <v/>
      </c>
      <c r="M38" s="93" t="n"/>
      <c r="N38" s="93" t="n"/>
      <c r="O38" s="93" t="n"/>
      <c r="P38" s="93" t="n"/>
      <c r="Q38" s="93" t="n"/>
      <c r="R38" s="92">
        <f>IFERROR(MIN(G38:K38),"-")</f>
        <v/>
      </c>
      <c r="S38" s="9">
        <f>IFERROR(INDEX(M38:Q38,MATCH(MIN(G38:K38),G38:K38,0)),"-")</f>
        <v/>
      </c>
      <c r="T38" t="inlineStr">
        <is>
          <t>FLANS</t>
        </is>
      </c>
    </row>
    <row r="39" ht="24" customHeight="1">
      <c r="A39" s="90" t="n">
        <v>30</v>
      </c>
      <c r="C39" s="9" t="inlineStr">
        <is>
          <t>OZEL-030</t>
        </is>
      </c>
      <c r="D39" s="61" t="inlineStr">
        <is>
          <t>8", CS, FLANGE BLIND, 150 LB, RF, ASME B16.5, ASTM A234 GR WPB, 150</t>
        </is>
      </c>
      <c r="E39" s="60" t="n"/>
      <c r="F39" s="60" t="n"/>
      <c r="G39" s="91" t="n"/>
      <c r="H39" s="91" t="n"/>
      <c r="I39" s="91" t="n"/>
      <c r="J39" s="91" t="n"/>
      <c r="K39" s="91" t="n"/>
      <c r="L39" s="92">
        <f>IFERROR(AVERAGEIF(G39:K39,"&gt;0"),"-")</f>
        <v/>
      </c>
      <c r="M39" s="93" t="n"/>
      <c r="N39" s="93" t="n"/>
      <c r="O39" s="93" t="n"/>
      <c r="P39" s="93" t="n"/>
      <c r="Q39" s="93" t="n"/>
      <c r="R39" s="92">
        <f>IFERROR(MIN(G39:K39),"-")</f>
        <v/>
      </c>
      <c r="S39" s="9">
        <f>IFERROR(INDEX(M39:Q39,MATCH(MIN(G39:K39),G39:K39,0)),"-")</f>
        <v/>
      </c>
      <c r="T39" t="inlineStr">
        <is>
          <t>FLANS</t>
        </is>
      </c>
    </row>
    <row r="40" ht="24" customHeight="1">
      <c r="A40" s="90" t="n">
        <v>31</v>
      </c>
      <c r="C40" s="9" t="inlineStr">
        <is>
          <t>OZEL-031</t>
        </is>
      </c>
      <c r="D40" s="61" t="inlineStr">
        <is>
          <t>8", CS, FLANGE BLIND, 300 LB, RF, ASME B16.5, ASTM A105, 300</t>
        </is>
      </c>
      <c r="E40" s="60" t="n"/>
      <c r="F40" s="60" t="n"/>
      <c r="G40" s="91" t="n"/>
      <c r="H40" s="91" t="n"/>
      <c r="I40" s="91" t="n"/>
      <c r="J40" s="91" t="n"/>
      <c r="K40" s="91" t="n"/>
      <c r="L40" s="92">
        <f>IFERROR(AVERAGEIF(G40:K40,"&gt;0"),"-")</f>
        <v/>
      </c>
      <c r="M40" s="93" t="n"/>
      <c r="N40" s="93" t="n"/>
      <c r="O40" s="93" t="n"/>
      <c r="P40" s="93" t="n"/>
      <c r="Q40" s="93" t="n"/>
      <c r="R40" s="92">
        <f>IFERROR(MIN(G40:K40),"-")</f>
        <v/>
      </c>
      <c r="S40" s="9">
        <f>IFERROR(INDEX(M40:Q40,MATCH(MIN(G40:K40),G40:K40,0)),"-")</f>
        <v/>
      </c>
      <c r="T40" t="inlineStr">
        <is>
          <t>FLANS</t>
        </is>
      </c>
    </row>
    <row r="41" ht="24" customHeight="1">
      <c r="A41" s="90" t="n">
        <v>32</v>
      </c>
      <c r="C41" s="9" t="inlineStr">
        <is>
          <t>OZEL-032</t>
        </is>
      </c>
      <c r="D41" s="61" t="inlineStr">
        <is>
          <t>1 1/2", CS, FLANGE, SOCKET WELD, 150 LB, RF, ASTM A 105, ASME B16.5, 150</t>
        </is>
      </c>
      <c r="E41" s="60" t="n"/>
      <c r="F41" s="60" t="n"/>
      <c r="G41" s="91" t="n"/>
      <c r="H41" s="91" t="n"/>
      <c r="I41" s="91" t="n"/>
      <c r="J41" s="91" t="n"/>
      <c r="K41" s="91" t="n"/>
      <c r="L41" s="92">
        <f>IFERROR(AVERAGEIF(G41:K41,"&gt;0"),"-")</f>
        <v/>
      </c>
      <c r="M41" s="93" t="n"/>
      <c r="N41" s="93" t="n"/>
      <c r="O41" s="93" t="n"/>
      <c r="P41" s="93" t="n"/>
      <c r="Q41" s="93" t="n"/>
      <c r="R41" s="92">
        <f>IFERROR(MIN(G41:K41),"-")</f>
        <v/>
      </c>
      <c r="S41" s="9">
        <f>IFERROR(INDEX(M41:Q41,MATCH(MIN(G41:K41),G41:K41,0)),"-")</f>
        <v/>
      </c>
      <c r="T41" t="inlineStr">
        <is>
          <t>FLANS</t>
        </is>
      </c>
    </row>
    <row r="42" ht="24" customHeight="1">
      <c r="A42" s="90" t="n">
        <v>33</v>
      </c>
      <c r="C42" s="9" t="inlineStr">
        <is>
          <t>OZEL-033</t>
        </is>
      </c>
      <c r="D42" s="61" t="inlineStr">
        <is>
          <t>1 1/4", CS, FLANGE, SOCKET WELD, ASME B16.5, 150LB, RF, ASTM A105, ASME B16.5, 150</t>
        </is>
      </c>
      <c r="E42" s="60" t="n"/>
      <c r="F42" s="60" t="n"/>
      <c r="G42" s="91" t="n"/>
      <c r="H42" s="91" t="n"/>
      <c r="I42" s="91" t="n"/>
      <c r="J42" s="91" t="n"/>
      <c r="K42" s="91" t="n"/>
      <c r="L42" s="92">
        <f>IFERROR(AVERAGEIF(G42:K42,"&gt;0"),"-")</f>
        <v/>
      </c>
      <c r="M42" s="93" t="n"/>
      <c r="N42" s="93" t="n"/>
      <c r="O42" s="93" t="n"/>
      <c r="P42" s="93" t="n"/>
      <c r="Q42" s="93" t="n"/>
      <c r="R42" s="92">
        <f>IFERROR(MIN(G42:K42),"-")</f>
        <v/>
      </c>
      <c r="S42" s="9">
        <f>IFERROR(INDEX(M42:Q42,MATCH(MIN(G42:K42),G42:K42,0)),"-")</f>
        <v/>
      </c>
      <c r="T42" t="inlineStr">
        <is>
          <t>FLANS</t>
        </is>
      </c>
    </row>
    <row r="43" ht="24" customHeight="1">
      <c r="A43" s="90" t="n">
        <v>34</v>
      </c>
      <c r="C43" s="9" t="inlineStr">
        <is>
          <t>OZEL-034</t>
        </is>
      </c>
      <c r="D43" s="61" t="inlineStr">
        <is>
          <t>2", CS, FLANGE, SOCKET WELD, ASME B16.5, 150LB, RF, ASTM A105, ASME B16.5, 150</t>
        </is>
      </c>
      <c r="E43" s="60" t="n"/>
      <c r="F43" s="60" t="n"/>
      <c r="G43" s="91" t="n"/>
      <c r="H43" s="91" t="n"/>
      <c r="I43" s="91" t="n"/>
      <c r="J43" s="91" t="n"/>
      <c r="K43" s="91" t="n"/>
      <c r="L43" s="92">
        <f>IFERROR(AVERAGEIF(G43:K43,"&gt;0"),"-")</f>
        <v/>
      </c>
      <c r="M43" s="93" t="n"/>
      <c r="N43" s="93" t="n"/>
      <c r="O43" s="93" t="n"/>
      <c r="P43" s="93" t="n"/>
      <c r="Q43" s="93" t="n"/>
      <c r="R43" s="92">
        <f>IFERROR(MIN(G43:K43),"-")</f>
        <v/>
      </c>
      <c r="S43" s="9">
        <f>IFERROR(INDEX(M43:Q43,MATCH(MIN(G43:K43),G43:K43,0)),"-")</f>
        <v/>
      </c>
      <c r="T43" t="inlineStr">
        <is>
          <t>FLANS</t>
        </is>
      </c>
    </row>
    <row r="44" ht="24" customHeight="1">
      <c r="A44" s="90" t="n">
        <v>35</v>
      </c>
      <c r="C44" s="9" t="inlineStr">
        <is>
          <t>OZEL-035</t>
        </is>
      </c>
      <c r="D44" s="61" t="inlineStr">
        <is>
          <t>12", CS, FLANGE, WELDING NECK, 150 LB SCH 40, RF, ASTM A 105, ASME B16.5, 150</t>
        </is>
      </c>
      <c r="E44" s="60" t="n"/>
      <c r="F44" s="60" t="n"/>
      <c r="G44" s="91" t="n"/>
      <c r="H44" s="91" t="n"/>
      <c r="I44" s="91" t="n"/>
      <c r="J44" s="91" t="n"/>
      <c r="K44" s="91" t="n"/>
      <c r="L44" s="92">
        <f>IFERROR(AVERAGEIF(G44:K44,"&gt;0"),"-")</f>
        <v/>
      </c>
      <c r="M44" s="93" t="n"/>
      <c r="N44" s="93" t="n"/>
      <c r="O44" s="93" t="n"/>
      <c r="P44" s="93" t="n"/>
      <c r="Q44" s="93" t="n"/>
      <c r="R44" s="92">
        <f>IFERROR(MIN(G44:K44),"-")</f>
        <v/>
      </c>
      <c r="S44" s="9">
        <f>IFERROR(INDEX(M44:Q44,MATCH(MIN(G44:K44),G44:K44,0)),"-")</f>
        <v/>
      </c>
      <c r="T44" t="inlineStr">
        <is>
          <t>FLANS</t>
        </is>
      </c>
    </row>
    <row r="45" ht="24" customHeight="1">
      <c r="A45" s="90" t="n">
        <v>36</v>
      </c>
      <c r="C45" s="9" t="inlineStr">
        <is>
          <t>OZEL-036</t>
        </is>
      </c>
      <c r="D45" s="61" t="inlineStr">
        <is>
          <t>12", CS, FLANGE, WELDING NECK, ASME B16.5, 150LB SCH20, RF, ASTM A 105, ASME B16.5, 150</t>
        </is>
      </c>
      <c r="E45" s="60" t="n"/>
      <c r="F45" s="60" t="n"/>
      <c r="G45" s="91" t="n"/>
      <c r="H45" s="91" t="n"/>
      <c r="I45" s="91" t="n"/>
      <c r="J45" s="91" t="n"/>
      <c r="K45" s="91" t="n"/>
      <c r="L45" s="92">
        <f>IFERROR(AVERAGEIF(G45:K45,"&gt;0"),"-")</f>
        <v/>
      </c>
      <c r="M45" s="93" t="n"/>
      <c r="N45" s="93" t="n"/>
      <c r="O45" s="93" t="n"/>
      <c r="P45" s="93" t="n"/>
      <c r="Q45" s="93" t="n"/>
      <c r="R45" s="92">
        <f>IFERROR(MIN(G45:K45),"-")</f>
        <v/>
      </c>
      <c r="S45" s="9">
        <f>IFERROR(INDEX(M45:Q45,MATCH(MIN(G45:K45),G45:K45,0)),"-")</f>
        <v/>
      </c>
      <c r="T45" t="inlineStr">
        <is>
          <t>FLANS</t>
        </is>
      </c>
    </row>
    <row r="46" ht="24" customHeight="1">
      <c r="A46" s="90" t="n">
        <v>37</v>
      </c>
      <c r="C46" s="9" t="inlineStr">
        <is>
          <t>OZEL-037</t>
        </is>
      </c>
      <c r="D46" s="61" t="inlineStr">
        <is>
          <t>2 1/2", CS, FLANGE, WELDING NECK, 150 LB SCH 40, RF, ASTM A
105, ASME B16.5, 150</t>
        </is>
      </c>
      <c r="E46" s="60" t="n"/>
      <c r="F46" s="60" t="n"/>
      <c r="G46" s="91" t="n"/>
      <c r="H46" s="91" t="n"/>
      <c r="I46" s="91" t="n"/>
      <c r="J46" s="91" t="n"/>
      <c r="K46" s="91" t="n"/>
      <c r="L46" s="92">
        <f>IFERROR(AVERAGEIF(G46:K46,"&gt;0"),"-")</f>
        <v/>
      </c>
      <c r="M46" s="93" t="n"/>
      <c r="N46" s="93" t="n"/>
      <c r="O46" s="93" t="n"/>
      <c r="P46" s="93" t="n"/>
      <c r="Q46" s="93" t="n"/>
      <c r="R46" s="92">
        <f>IFERROR(MIN(G46:K46),"-")</f>
        <v/>
      </c>
      <c r="S46" s="9">
        <f>IFERROR(INDEX(M46:Q46,MATCH(MIN(G46:K46),G46:K46,0)),"-")</f>
        <v/>
      </c>
      <c r="T46" t="inlineStr">
        <is>
          <t>FLANS</t>
        </is>
      </c>
    </row>
    <row r="47" ht="24" customHeight="1">
      <c r="A47" s="90" t="n">
        <v>38</v>
      </c>
      <c r="C47" s="9" t="inlineStr">
        <is>
          <t>OZEL-038</t>
        </is>
      </c>
      <c r="D47" s="61" t="inlineStr">
        <is>
          <t>2", CS, FLANGE, WELDING NECK, ASTM A105, 300LB SCH 80 , RF, ASME B16.5, 300</t>
        </is>
      </c>
      <c r="E47" s="60" t="n"/>
      <c r="F47" s="60" t="n"/>
      <c r="G47" s="91" t="n"/>
      <c r="H47" s="91" t="n"/>
      <c r="I47" s="91" t="n"/>
      <c r="J47" s="91" t="n"/>
      <c r="K47" s="91" t="n"/>
      <c r="L47" s="92">
        <f>IFERROR(AVERAGEIF(G47:K47,"&gt;0"),"-")</f>
        <v/>
      </c>
      <c r="M47" s="93" t="n"/>
      <c r="N47" s="93" t="n"/>
      <c r="O47" s="93" t="n"/>
      <c r="P47" s="93" t="n"/>
      <c r="Q47" s="93" t="n"/>
      <c r="R47" s="92">
        <f>IFERROR(MIN(G47:K47),"-")</f>
        <v/>
      </c>
      <c r="S47" s="9">
        <f>IFERROR(INDEX(M47:Q47,MATCH(MIN(G47:K47),G47:K47,0)),"-")</f>
        <v/>
      </c>
      <c r="T47" t="inlineStr">
        <is>
          <t>FLANS</t>
        </is>
      </c>
    </row>
    <row r="48" ht="24" customHeight="1">
      <c r="A48" s="90" t="n">
        <v>39</v>
      </c>
      <c r="C48" s="9" t="inlineStr">
        <is>
          <t>OZEL-039</t>
        </is>
      </c>
      <c r="D48" s="61" t="inlineStr">
        <is>
          <t>3", CS, FLANGE, WELDING NECK, ASME B16.5, 150LB SCH40, RF, ASTM A 105, ASME B16.5, 150</t>
        </is>
      </c>
      <c r="E48" s="60" t="n"/>
      <c r="F48" s="60" t="n"/>
      <c r="G48" s="91" t="n"/>
      <c r="H48" s="91" t="n"/>
      <c r="I48" s="91" t="n"/>
      <c r="J48" s="91" t="n"/>
      <c r="K48" s="91" t="n"/>
      <c r="L48" s="92">
        <f>IFERROR(AVERAGEIF(G48:K48,"&gt;0"),"-")</f>
        <v/>
      </c>
      <c r="M48" s="93" t="n"/>
      <c r="N48" s="93" t="n"/>
      <c r="O48" s="93" t="n"/>
      <c r="P48" s="93" t="n"/>
      <c r="Q48" s="93" t="n"/>
      <c r="R48" s="92">
        <f>IFERROR(MIN(G48:K48),"-")</f>
        <v/>
      </c>
      <c r="S48" s="9">
        <f>IFERROR(INDEX(M48:Q48,MATCH(MIN(G48:K48),G48:K48,0)),"-")</f>
        <v/>
      </c>
      <c r="T48" t="inlineStr">
        <is>
          <t>FLANS</t>
        </is>
      </c>
    </row>
    <row r="49" ht="24" customHeight="1">
      <c r="A49" s="90" t="n">
        <v>40</v>
      </c>
      <c r="C49" s="9" t="inlineStr">
        <is>
          <t>OZEL-040</t>
        </is>
      </c>
      <c r="D49" s="61" t="inlineStr">
        <is>
          <t>4", CS, FLANGE, WELDING NECK, 150 LB SCH 40, RF, ASTM A 105, ASME B16.5, 150</t>
        </is>
      </c>
      <c r="E49" s="60" t="n"/>
      <c r="F49" s="60" t="n"/>
      <c r="G49" s="91" t="n"/>
      <c r="H49" s="91" t="n"/>
      <c r="I49" s="91" t="n"/>
      <c r="J49" s="91" t="n"/>
      <c r="K49" s="91" t="n"/>
      <c r="L49" s="92">
        <f>IFERROR(AVERAGEIF(G49:K49,"&gt;0"),"-")</f>
        <v/>
      </c>
      <c r="M49" s="93" t="n"/>
      <c r="N49" s="93" t="n"/>
      <c r="O49" s="93" t="n"/>
      <c r="P49" s="93" t="n"/>
      <c r="Q49" s="93" t="n"/>
      <c r="R49" s="92">
        <f>IFERROR(MIN(G49:K49),"-")</f>
        <v/>
      </c>
      <c r="S49" s="9">
        <f>IFERROR(INDEX(M49:Q49,MATCH(MIN(G49:K49),G49:K49,0)),"-")</f>
        <v/>
      </c>
      <c r="T49" t="inlineStr">
        <is>
          <t>FLANS</t>
        </is>
      </c>
    </row>
    <row r="50" ht="24" customHeight="1">
      <c r="A50" s="90" t="n">
        <v>41</v>
      </c>
      <c r="C50" s="9" t="inlineStr">
        <is>
          <t>OZEL-041</t>
        </is>
      </c>
      <c r="D50" s="61" t="inlineStr">
        <is>
          <t>4", CS, FLANGE, WELDING NECK, 150 LB SCH 40, RF, ASTM A
105, ASME B16.5, 150</t>
        </is>
      </c>
      <c r="E50" s="60" t="n"/>
      <c r="F50" s="60" t="n"/>
      <c r="G50" s="91" t="n"/>
      <c r="H50" s="91" t="n"/>
      <c r="I50" s="91" t="n"/>
      <c r="J50" s="91" t="n"/>
      <c r="K50" s="91" t="n"/>
      <c r="L50" s="92">
        <f>IFERROR(AVERAGEIF(G50:K50,"&gt;0"),"-")</f>
        <v/>
      </c>
      <c r="M50" s="93" t="n"/>
      <c r="N50" s="93" t="n"/>
      <c r="O50" s="93" t="n"/>
      <c r="P50" s="93" t="n"/>
      <c r="Q50" s="93" t="n"/>
      <c r="R50" s="92">
        <f>IFERROR(MIN(G50:K50),"-")</f>
        <v/>
      </c>
      <c r="S50" s="9">
        <f>IFERROR(INDEX(M50:Q50,MATCH(MIN(G50:K50),G50:K50,0)),"-")</f>
        <v/>
      </c>
      <c r="T50" t="inlineStr">
        <is>
          <t>FLANS</t>
        </is>
      </c>
    </row>
    <row r="51" ht="24" customHeight="1">
      <c r="A51" s="90" t="n">
        <v>42</v>
      </c>
      <c r="C51" s="9" t="inlineStr">
        <is>
          <t>OZEL-042</t>
        </is>
      </c>
      <c r="D51" s="61" t="inlineStr">
        <is>
          <t>4", CS, FLANGE, WELDING NECK, ASME B16.5, 150LB SCH20, RF, ASTM A 105, ASME B16.5, 150</t>
        </is>
      </c>
      <c r="E51" s="60" t="n"/>
      <c r="F51" s="60" t="n"/>
      <c r="G51" s="91" t="n"/>
      <c r="H51" s="91" t="n"/>
      <c r="I51" s="91" t="n"/>
      <c r="J51" s="91" t="n"/>
      <c r="K51" s="91" t="n"/>
      <c r="L51" s="92">
        <f>IFERROR(AVERAGEIF(G51:K51,"&gt;0"),"-")</f>
        <v/>
      </c>
      <c r="M51" s="93" t="n"/>
      <c r="N51" s="93" t="n"/>
      <c r="O51" s="93" t="n"/>
      <c r="P51" s="93" t="n"/>
      <c r="Q51" s="93" t="n"/>
      <c r="R51" s="92">
        <f>IFERROR(MIN(G51:K51),"-")</f>
        <v/>
      </c>
      <c r="S51" s="9">
        <f>IFERROR(INDEX(M51:Q51,MATCH(MIN(G51:K51),G51:K51,0)),"-")</f>
        <v/>
      </c>
      <c r="T51" t="inlineStr">
        <is>
          <t>FLANS</t>
        </is>
      </c>
    </row>
    <row r="52" ht="24" customHeight="1">
      <c r="A52" s="90" t="n">
        <v>43</v>
      </c>
      <c r="C52" s="9" t="inlineStr">
        <is>
          <t>OZEL-043</t>
        </is>
      </c>
      <c r="D52" s="61" t="inlineStr">
        <is>
          <t>4", CS, FLANGE, WELDING NECK, ASME B16.5, 150LB SCH40, RF, ASTM A 105, ASME B16.5, 150</t>
        </is>
      </c>
      <c r="E52" s="60" t="n"/>
      <c r="F52" s="60" t="n"/>
      <c r="G52" s="91" t="n"/>
      <c r="H52" s="91" t="n"/>
      <c r="I52" s="91" t="n"/>
      <c r="J52" s="91" t="n"/>
      <c r="K52" s="91" t="n"/>
      <c r="L52" s="92">
        <f>IFERROR(AVERAGEIF(G52:K52,"&gt;0"),"-")</f>
        <v/>
      </c>
      <c r="M52" s="93" t="n"/>
      <c r="N52" s="93" t="n"/>
      <c r="O52" s="93" t="n"/>
      <c r="P52" s="93" t="n"/>
      <c r="Q52" s="93" t="n"/>
      <c r="R52" s="92">
        <f>IFERROR(MIN(G52:K52),"-")</f>
        <v/>
      </c>
      <c r="S52" s="9">
        <f>IFERROR(INDEX(M52:Q52,MATCH(MIN(G52:K52),G52:K52,0)),"-")</f>
        <v/>
      </c>
      <c r="T52" t="inlineStr">
        <is>
          <t>FLANS</t>
        </is>
      </c>
    </row>
    <row r="53" ht="24" customHeight="1">
      <c r="A53" s="90" t="n">
        <v>44</v>
      </c>
      <c r="C53" s="9" t="inlineStr">
        <is>
          <t>OZEL-044</t>
        </is>
      </c>
      <c r="D53" s="61" t="inlineStr">
        <is>
          <t>4", CS, FLANGE, WELDING NECK, ASTM A105, 300LB SCH 40 , RF, ASME B16.5, 300</t>
        </is>
      </c>
      <c r="E53" s="60" t="n"/>
      <c r="F53" s="60" t="n"/>
      <c r="G53" s="91" t="n"/>
      <c r="H53" s="91" t="n"/>
      <c r="I53" s="91" t="n"/>
      <c r="J53" s="91" t="n"/>
      <c r="K53" s="91" t="n"/>
      <c r="L53" s="92">
        <f>IFERROR(AVERAGEIF(G53:K53,"&gt;0"),"-")</f>
        <v/>
      </c>
      <c r="M53" s="93" t="n"/>
      <c r="N53" s="93" t="n"/>
      <c r="O53" s="93" t="n"/>
      <c r="P53" s="93" t="n"/>
      <c r="Q53" s="93" t="n"/>
      <c r="R53" s="92">
        <f>IFERROR(MIN(G53:K53),"-")</f>
        <v/>
      </c>
      <c r="S53" s="9">
        <f>IFERROR(INDEX(M53:Q53,MATCH(MIN(G53:K53),G53:K53,0)),"-")</f>
        <v/>
      </c>
      <c r="T53" t="inlineStr">
        <is>
          <t>FLANS</t>
        </is>
      </c>
    </row>
    <row r="54" ht="24" customHeight="1">
      <c r="A54" s="90" t="n">
        <v>45</v>
      </c>
      <c r="C54" s="9" t="inlineStr">
        <is>
          <t>OZEL-045</t>
        </is>
      </c>
      <c r="D54" s="61" t="inlineStr">
        <is>
          <t>6", CS, FLANGE, WELDING NECK, 150 LB SCH 40, RF, ASTM A 105, ASME B16.5, 150</t>
        </is>
      </c>
      <c r="E54" s="60" t="n"/>
      <c r="F54" s="60" t="n"/>
      <c r="G54" s="91" t="n"/>
      <c r="H54" s="91" t="n"/>
      <c r="I54" s="91" t="n"/>
      <c r="J54" s="91" t="n"/>
      <c r="K54" s="91" t="n"/>
      <c r="L54" s="92">
        <f>IFERROR(AVERAGEIF(G54:K54,"&gt;0"),"-")</f>
        <v/>
      </c>
      <c r="M54" s="93" t="n"/>
      <c r="N54" s="93" t="n"/>
      <c r="O54" s="93" t="n"/>
      <c r="P54" s="93" t="n"/>
      <c r="Q54" s="93" t="n"/>
      <c r="R54" s="92">
        <f>IFERROR(MIN(G54:K54),"-")</f>
        <v/>
      </c>
      <c r="S54" s="9">
        <f>IFERROR(INDEX(M54:Q54,MATCH(MIN(G54:K54),G54:K54,0)),"-")</f>
        <v/>
      </c>
      <c r="T54" t="inlineStr">
        <is>
          <t>FLANS</t>
        </is>
      </c>
    </row>
    <row r="55" ht="24" customHeight="1">
      <c r="A55" s="90" t="n">
        <v>46</v>
      </c>
      <c r="C55" s="9" t="inlineStr">
        <is>
          <t>OZEL-046</t>
        </is>
      </c>
      <c r="D55" s="61" t="inlineStr">
        <is>
          <t>6", CS, FLANGE, WELDING NECK, 150 LB SCH 40, RF, ASTM A
105, ASME B16.5, 150</t>
        </is>
      </c>
      <c r="E55" s="60" t="n"/>
      <c r="F55" s="60" t="n"/>
      <c r="G55" s="91" t="n"/>
      <c r="H55" s="91" t="n"/>
      <c r="I55" s="91" t="n"/>
      <c r="J55" s="91" t="n"/>
      <c r="K55" s="91" t="n"/>
      <c r="L55" s="92">
        <f>IFERROR(AVERAGEIF(G55:K55,"&gt;0"),"-")</f>
        <v/>
      </c>
      <c r="M55" s="93" t="n"/>
      <c r="N55" s="93" t="n"/>
      <c r="O55" s="93" t="n"/>
      <c r="P55" s="93" t="n"/>
      <c r="Q55" s="93" t="n"/>
      <c r="R55" s="92">
        <f>IFERROR(MIN(G55:K55),"-")</f>
        <v/>
      </c>
      <c r="S55" s="9">
        <f>IFERROR(INDEX(M55:Q55,MATCH(MIN(G55:K55),G55:K55,0)),"-")</f>
        <v/>
      </c>
      <c r="T55" t="inlineStr">
        <is>
          <t>FLANS</t>
        </is>
      </c>
    </row>
    <row r="56" ht="24" customHeight="1">
      <c r="A56" s="90" t="n">
        <v>47</v>
      </c>
      <c r="C56" s="9" t="inlineStr">
        <is>
          <t>OZEL-047</t>
        </is>
      </c>
      <c r="D56" s="61" t="inlineStr">
        <is>
          <t>6", CS, FLANGE, WELDING NECK, ASME B16.5, 150LB SCH40, RF, ASTM A 105, ASME B16.5, 150</t>
        </is>
      </c>
      <c r="E56" s="60" t="n"/>
      <c r="F56" s="60" t="n"/>
      <c r="G56" s="91" t="n"/>
      <c r="H56" s="91" t="n"/>
      <c r="I56" s="91" t="n"/>
      <c r="J56" s="91" t="n"/>
      <c r="K56" s="91" t="n"/>
      <c r="L56" s="92">
        <f>IFERROR(AVERAGEIF(G56:K56,"&gt;0"),"-")</f>
        <v/>
      </c>
      <c r="M56" s="93" t="n"/>
      <c r="N56" s="93" t="n"/>
      <c r="O56" s="93" t="n"/>
      <c r="P56" s="93" t="n"/>
      <c r="Q56" s="93" t="n"/>
      <c r="R56" s="92">
        <f>IFERROR(MIN(G56:K56),"-")</f>
        <v/>
      </c>
      <c r="S56" s="9">
        <f>IFERROR(INDEX(M56:Q56,MATCH(MIN(G56:K56),G56:K56,0)),"-")</f>
        <v/>
      </c>
      <c r="T56" t="inlineStr">
        <is>
          <t>FLANS</t>
        </is>
      </c>
    </row>
    <row r="57" ht="24" customHeight="1">
      <c r="A57" s="90" t="n">
        <v>48</v>
      </c>
      <c r="C57" s="9" t="inlineStr">
        <is>
          <t>OZEL-048</t>
        </is>
      </c>
      <c r="D57" s="61" t="inlineStr">
        <is>
          <t>8", CS, FLANGE, WELDING NECK, 150 LB SCH 40, RF, ASTM A 105, ASME B16.5, 150</t>
        </is>
      </c>
      <c r="E57" s="60" t="n"/>
      <c r="F57" s="60" t="n"/>
      <c r="G57" s="91" t="n"/>
      <c r="H57" s="91" t="n"/>
      <c r="I57" s="91" t="n"/>
      <c r="J57" s="91" t="n"/>
      <c r="K57" s="91" t="n"/>
      <c r="L57" s="92">
        <f>IFERROR(AVERAGEIF(G57:K57,"&gt;0"),"-")</f>
        <v/>
      </c>
      <c r="M57" s="93" t="n"/>
      <c r="N57" s="93" t="n"/>
      <c r="O57" s="93" t="n"/>
      <c r="P57" s="93" t="n"/>
      <c r="Q57" s="93" t="n"/>
      <c r="R57" s="92">
        <f>IFERROR(MIN(G57:K57),"-")</f>
        <v/>
      </c>
      <c r="S57" s="9">
        <f>IFERROR(INDEX(M57:Q57,MATCH(MIN(G57:K57),G57:K57,0)),"-")</f>
        <v/>
      </c>
      <c r="T57" t="inlineStr">
        <is>
          <t>FLANS</t>
        </is>
      </c>
    </row>
    <row r="58" ht="24" customHeight="1">
      <c r="A58" s="90" t="n">
        <v>49</v>
      </c>
      <c r="C58" s="9" t="inlineStr">
        <is>
          <t>OZEL-049</t>
        </is>
      </c>
      <c r="D58" s="61" t="inlineStr">
        <is>
          <t>8", CS, FLANGE, WELDING NECK, ASME B16.5, 150LB SCH20, RF, ASTM A 105, ASME B16.5, 150</t>
        </is>
      </c>
      <c r="E58" s="60" t="n"/>
      <c r="F58" s="60" t="n"/>
      <c r="G58" s="91" t="n"/>
      <c r="H58" s="91" t="n"/>
      <c r="I58" s="91" t="n"/>
      <c r="J58" s="91" t="n"/>
      <c r="K58" s="91" t="n"/>
      <c r="L58" s="92">
        <f>IFERROR(AVERAGEIF(G58:K58,"&gt;0"),"-")</f>
        <v/>
      </c>
      <c r="M58" s="93" t="n"/>
      <c r="N58" s="93" t="n"/>
      <c r="O58" s="93" t="n"/>
      <c r="P58" s="93" t="n"/>
      <c r="Q58" s="93" t="n"/>
      <c r="R58" s="92">
        <f>IFERROR(MIN(G58:K58),"-")</f>
        <v/>
      </c>
      <c r="S58" s="9">
        <f>IFERROR(INDEX(M58:Q58,MATCH(MIN(G58:K58),G58:K58,0)),"-")</f>
        <v/>
      </c>
      <c r="T58" t="inlineStr">
        <is>
          <t>FLANS</t>
        </is>
      </c>
    </row>
    <row r="59" ht="24" customHeight="1">
      <c r="A59" s="90" t="n">
        <v>50</v>
      </c>
      <c r="C59" s="9" t="inlineStr">
        <is>
          <t>OZEL-050</t>
        </is>
      </c>
      <c r="D59" s="61" t="inlineStr">
        <is>
          <t>8", CS, FLANGE, WELDING NECK, ASTM A105, 300LB SCH 40 , RF, ASME B16.5, 300</t>
        </is>
      </c>
      <c r="E59" s="60" t="n"/>
      <c r="F59" s="60" t="n"/>
      <c r="G59" s="91" t="n"/>
      <c r="H59" s="91" t="n"/>
      <c r="I59" s="91" t="n"/>
      <c r="J59" s="91" t="n"/>
      <c r="K59" s="91" t="n"/>
      <c r="L59" s="92">
        <f>IFERROR(AVERAGEIF(G59:K59,"&gt;0"),"-")</f>
        <v/>
      </c>
      <c r="M59" s="93" t="n"/>
      <c r="N59" s="93" t="n"/>
      <c r="O59" s="93" t="n"/>
      <c r="P59" s="93" t="n"/>
      <c r="Q59" s="93" t="n"/>
      <c r="R59" s="92">
        <f>IFERROR(MIN(G59:K59),"-")</f>
        <v/>
      </c>
      <c r="S59" s="9">
        <f>IFERROR(INDEX(M59:Q59,MATCH(MIN(G59:K59),G59:K59,0)),"-")</f>
        <v/>
      </c>
      <c r="T59" t="inlineStr">
        <is>
          <t>FLANS</t>
        </is>
      </c>
    </row>
    <row r="60" ht="24" customHeight="1">
      <c r="A60" s="90" t="n">
        <v>51</v>
      </c>
      <c r="C60" s="9" t="inlineStr">
        <is>
          <t>OZEL-051</t>
        </is>
      </c>
      <c r="D60" s="61" t="inlineStr">
        <is>
          <t>1 1/2", CS, SPIRAL WOUND GASKET, 304 / GRAPHITE \U+2013 CS, CENTERING RING, 4.5 MM, 150LB, RF , ASME B16.20, 150</t>
        </is>
      </c>
      <c r="E60" s="60" t="n"/>
      <c r="F60" s="60" t="n"/>
      <c r="G60" s="91" t="n"/>
      <c r="H60" s="91" t="n"/>
      <c r="I60" s="91" t="n"/>
      <c r="J60" s="91" t="n"/>
      <c r="K60" s="91" t="n"/>
      <c r="L60" s="92">
        <f>IFERROR(AVERAGEIF(G60:K60,"&gt;0"),"-")</f>
        <v/>
      </c>
      <c r="M60" s="93" t="n"/>
      <c r="N60" s="93" t="n"/>
      <c r="O60" s="93" t="n"/>
      <c r="P60" s="93" t="n"/>
      <c r="Q60" s="93" t="n"/>
      <c r="R60" s="92">
        <f>IFERROR(MIN(G60:K60),"-")</f>
        <v/>
      </c>
      <c r="S60" s="9">
        <f>IFERROR(INDEX(M60:Q60,MATCH(MIN(G60:K60),G60:K60,0)),"-")</f>
        <v/>
      </c>
      <c r="T60" t="inlineStr">
        <is>
          <t>GASKET&amp;BOLT</t>
        </is>
      </c>
    </row>
    <row r="61" ht="24" customHeight="1">
      <c r="A61" s="90" t="n">
        <v>52</v>
      </c>
      <c r="C61" s="9" t="inlineStr">
        <is>
          <t>OZEL-052</t>
        </is>
      </c>
      <c r="D61" s="61" t="inlineStr">
        <is>
          <t>1 1/4", CS, SPIRAL WOUND GASKET, 304 / GRAPHITE \U+2013 CS, CENTERING RING, 4.5 MM, 150LB, RF , ASME B16.20, 150</t>
        </is>
      </c>
      <c r="E61" s="60" t="n"/>
      <c r="F61" s="60" t="n"/>
      <c r="G61" s="91" t="n"/>
      <c r="H61" s="91" t="n"/>
      <c r="I61" s="91" t="n"/>
      <c r="J61" s="91" t="n"/>
      <c r="K61" s="91" t="n"/>
      <c r="L61" s="92">
        <f>IFERROR(AVERAGEIF(G61:K61,"&gt;0"),"-")</f>
        <v/>
      </c>
      <c r="M61" s="93" t="n"/>
      <c r="N61" s="93" t="n"/>
      <c r="O61" s="93" t="n"/>
      <c r="P61" s="93" t="n"/>
      <c r="Q61" s="93" t="n"/>
      <c r="R61" s="92">
        <f>IFERROR(MIN(G61:K61),"-")</f>
        <v/>
      </c>
      <c r="S61" s="9">
        <f>IFERROR(INDEX(M61:Q61,MATCH(MIN(G61:K61),G61:K61,0)),"-")</f>
        <v/>
      </c>
      <c r="T61" t="inlineStr">
        <is>
          <t>GASKET&amp;BOLT</t>
        </is>
      </c>
    </row>
    <row r="62" ht="24" customHeight="1">
      <c r="A62" s="90" t="n">
        <v>53</v>
      </c>
      <c r="C62" s="9" t="inlineStr">
        <is>
          <t>OZEL-053</t>
        </is>
      </c>
      <c r="D62" s="61" t="inlineStr">
        <is>
          <t>12", CS, SPIRAL WOUND GASKET, 304 / GRAPHITE \U+2013 CS, CENTERING RING, 4.5 MM, 150LB, RF , ASME B16.20, 150</t>
        </is>
      </c>
      <c r="E62" s="60" t="n"/>
      <c r="F62" s="60" t="n"/>
      <c r="G62" s="96" t="n">
        <v>1315</v>
      </c>
      <c r="H62" s="91" t="n"/>
      <c r="I62" s="91" t="n"/>
      <c r="J62" s="91" t="n"/>
      <c r="K62" s="91" t="n"/>
      <c r="L62" s="92">
        <f>IFERROR(AVERAGEIF(G62:K62,"&gt;0"),"-")</f>
        <v/>
      </c>
      <c r="M62" s="93" t="inlineStr">
        <is>
          <t>KLINGER</t>
        </is>
      </c>
      <c r="N62" s="93" t="n"/>
      <c r="O62" s="93" t="n"/>
      <c r="P62" s="93" t="n"/>
      <c r="Q62" s="93" t="n"/>
      <c r="R62" s="92">
        <f>IFERROR(MIN(G62:K62),"-")</f>
        <v/>
      </c>
      <c r="S62" s="9">
        <f>IFERROR(INDEX(M62:Q62,MATCH(MIN(G62:K62),G62:K62,0)),"-")</f>
        <v/>
      </c>
      <c r="T62" t="inlineStr">
        <is>
          <t>GASKET&amp;BOLT</t>
        </is>
      </c>
    </row>
    <row r="63" ht="24" customHeight="1">
      <c r="A63" s="90" t="n">
        <v>54</v>
      </c>
      <c r="C63" s="9" t="inlineStr">
        <is>
          <t>OZEL-054</t>
        </is>
      </c>
      <c r="D63" s="61" t="inlineStr">
        <is>
          <t>2 1/2", CS, SPIRAL WOUND GASKET, 304 / GRAPHITE \U+2013 CS, CENTERING RING, 4.5 MM, 150LB, RF , ASME B16.20, 150</t>
        </is>
      </c>
      <c r="E63" s="60" t="n"/>
      <c r="F63" s="60" t="n"/>
      <c r="G63" s="96" t="n">
        <v>300</v>
      </c>
      <c r="H63" s="91" t="n"/>
      <c r="I63" s="91" t="n"/>
      <c r="J63" s="91" t="n"/>
      <c r="K63" s="91" t="n"/>
      <c r="L63" s="92">
        <f>IFERROR(AVERAGEIF(G63:K63,"&gt;0"),"-")</f>
        <v/>
      </c>
      <c r="M63" s="93" t="inlineStr">
        <is>
          <t>KLINGER</t>
        </is>
      </c>
      <c r="N63" s="93" t="n"/>
      <c r="O63" s="93" t="n"/>
      <c r="P63" s="93" t="n"/>
      <c r="Q63" s="93" t="n"/>
      <c r="R63" s="92">
        <f>IFERROR(MIN(G63:K63),"-")</f>
        <v/>
      </c>
      <c r="S63" s="9">
        <f>IFERROR(INDEX(M63:Q63,MATCH(MIN(G63:K63),G63:K63,0)),"-")</f>
        <v/>
      </c>
      <c r="T63" t="inlineStr">
        <is>
          <t>GASKET&amp;BOLT</t>
        </is>
      </c>
    </row>
    <row r="64" ht="24" customHeight="1">
      <c r="A64" s="90" t="n">
        <v>55</v>
      </c>
      <c r="C64" s="9" t="inlineStr">
        <is>
          <t>OZEL-055</t>
        </is>
      </c>
      <c r="D64" s="61" t="inlineStr">
        <is>
          <t>2", CS, SPIRAL WOUND GASKET, 304 / GRAPHITE \U+2013 CS, CENTERING RING, 4.5 MM, 150LB, RF , ASME B16.20, 150</t>
        </is>
      </c>
      <c r="E64" s="60" t="n"/>
      <c r="F64" s="60" t="n"/>
      <c r="G64" s="91" t="n"/>
      <c r="H64" s="91" t="n"/>
      <c r="I64" s="91" t="n"/>
      <c r="J64" s="91" t="n"/>
      <c r="K64" s="91" t="n"/>
      <c r="L64" s="92">
        <f>IFERROR(AVERAGEIF(G64:K64,"&gt;0"),"-")</f>
        <v/>
      </c>
      <c r="M64" s="93" t="n"/>
      <c r="N64" s="93" t="n"/>
      <c r="O64" s="93" t="n"/>
      <c r="P64" s="93" t="n"/>
      <c r="Q64" s="93" t="n"/>
      <c r="R64" s="92">
        <f>IFERROR(MIN(G64:K64),"-")</f>
        <v/>
      </c>
      <c r="S64" s="9">
        <f>IFERROR(INDEX(M64:Q64,MATCH(MIN(G64:K64),G64:K64,0)),"-")</f>
        <v/>
      </c>
      <c r="T64" t="inlineStr">
        <is>
          <t>GASKET&amp;BOLT</t>
        </is>
      </c>
    </row>
    <row r="65" ht="24" customHeight="1">
      <c r="A65" s="90" t="n">
        <v>56</v>
      </c>
      <c r="C65" s="9" t="inlineStr">
        <is>
          <t>OZEL-056</t>
        </is>
      </c>
      <c r="D65" s="61" t="inlineStr">
        <is>
          <t>2", CS, SPIRAL WOUND GASKET, 304 / GRAPHITE \U+2013 CS, CENTERING RING, 4.5 MM, 150LB, RF , ASME B16.20, 300</t>
        </is>
      </c>
      <c r="E65" s="60" t="n"/>
      <c r="F65" s="60" t="n"/>
      <c r="G65" s="91" t="n"/>
      <c r="H65" s="91" t="n"/>
      <c r="I65" s="91" t="n"/>
      <c r="J65" s="91" t="n"/>
      <c r="K65" s="91" t="n"/>
      <c r="L65" s="92">
        <f>IFERROR(AVERAGEIF(G65:K65,"&gt;0"),"-")</f>
        <v/>
      </c>
      <c r="M65" s="93" t="n"/>
      <c r="N65" s="93" t="n"/>
      <c r="O65" s="93" t="n"/>
      <c r="P65" s="93" t="n"/>
      <c r="Q65" s="93" t="n"/>
      <c r="R65" s="92">
        <f>IFERROR(MIN(G65:K65),"-")</f>
        <v/>
      </c>
      <c r="S65" s="9">
        <f>IFERROR(INDEX(M65:Q65,MATCH(MIN(G65:K65),G65:K65,0)),"-")</f>
        <v/>
      </c>
      <c r="T65" t="inlineStr">
        <is>
          <t>GASKET&amp;BOLT</t>
        </is>
      </c>
    </row>
    <row r="66" ht="24" customHeight="1">
      <c r="A66" s="90" t="n">
        <v>57</v>
      </c>
      <c r="C66" s="9" t="inlineStr">
        <is>
          <t>OZEL-057</t>
        </is>
      </c>
      <c r="D66" s="61" t="inlineStr">
        <is>
          <t>3", CS, SPIRAL WOUND GASKET, 304 / GRAPHITE \U+2013 CS, CENTERING RING, 4.5 MM, 150LB, RF , ASME B16.20, 150</t>
        </is>
      </c>
      <c r="E66" s="60" t="n"/>
      <c r="F66" s="60" t="n"/>
      <c r="G66" s="91" t="n"/>
      <c r="H66" s="91" t="n"/>
      <c r="I66" s="91" t="n"/>
      <c r="J66" s="91" t="n"/>
      <c r="K66" s="91" t="n"/>
      <c r="L66" s="92">
        <f>IFERROR(AVERAGEIF(G66:K66,"&gt;0"),"-")</f>
        <v/>
      </c>
      <c r="M66" s="93" t="n"/>
      <c r="N66" s="93" t="n"/>
      <c r="O66" s="93" t="n"/>
      <c r="P66" s="93" t="n"/>
      <c r="Q66" s="93" t="n"/>
      <c r="R66" s="92">
        <f>IFERROR(MIN(G66:K66),"-")</f>
        <v/>
      </c>
      <c r="S66" s="9">
        <f>IFERROR(INDEX(M66:Q66,MATCH(MIN(G66:K66),G66:K66,0)),"-")</f>
        <v/>
      </c>
      <c r="T66" t="inlineStr">
        <is>
          <t>GASKET&amp;BOLT</t>
        </is>
      </c>
    </row>
    <row r="67" ht="24" customHeight="1">
      <c r="A67" s="90" t="n">
        <v>58</v>
      </c>
      <c r="C67" s="9" t="inlineStr">
        <is>
          <t>OZEL-058</t>
        </is>
      </c>
      <c r="D67" s="61" t="inlineStr">
        <is>
          <t>4", CS, SPIRAL WOUND GASKET, 304 / GRAPHITE \U+2013 CS, CENTERING RING, 4.5 MM, 150LB, RF , ASME B16.20, 150</t>
        </is>
      </c>
      <c r="E67" s="60" t="n"/>
      <c r="F67" s="60" t="n"/>
      <c r="G67" s="96" t="n">
        <v>370</v>
      </c>
      <c r="H67" s="91" t="n"/>
      <c r="I67" s="91" t="n"/>
      <c r="J67" s="91" t="n"/>
      <c r="K67" s="91" t="n"/>
      <c r="L67" s="92">
        <f>IFERROR(AVERAGEIF(G67:K67,"&gt;0"),"-")</f>
        <v/>
      </c>
      <c r="M67" s="93" t="inlineStr">
        <is>
          <t>KLINGER</t>
        </is>
      </c>
      <c r="N67" s="93" t="n"/>
      <c r="O67" s="93" t="n"/>
      <c r="P67" s="93" t="n"/>
      <c r="Q67" s="93" t="n"/>
      <c r="R67" s="92">
        <f>IFERROR(MIN(G67:K67),"-")</f>
        <v/>
      </c>
      <c r="S67" s="9">
        <f>IFERROR(INDEX(M67:Q67,MATCH(MIN(G67:K67),G67:K67,0)),"-")</f>
        <v/>
      </c>
      <c r="T67" t="inlineStr">
        <is>
          <t>GASKET&amp;BOLT</t>
        </is>
      </c>
    </row>
    <row r="68" ht="24" customHeight="1">
      <c r="A68" s="90" t="n">
        <v>59</v>
      </c>
      <c r="C68" s="9" t="inlineStr">
        <is>
          <t>OZEL-059</t>
        </is>
      </c>
      <c r="D68" s="61" t="inlineStr">
        <is>
          <t>4", CS, SPIRAL WOUND GASKET, 304 / GRAPHITE \U+2013 CS, CENTERING RING, 4.5 MM, 150LB, RF , ASME B16.20, 300</t>
        </is>
      </c>
      <c r="E68" s="60" t="n"/>
      <c r="F68" s="60" t="n"/>
      <c r="G68" s="91" t="n"/>
      <c r="H68" s="91" t="n"/>
      <c r="I68" s="91" t="n"/>
      <c r="J68" s="91" t="n"/>
      <c r="K68" s="91" t="n"/>
      <c r="L68" s="92">
        <f>IFERROR(AVERAGEIF(G68:K68,"&gt;0"),"-")</f>
        <v/>
      </c>
      <c r="M68" s="93" t="n"/>
      <c r="N68" s="93" t="n"/>
      <c r="O68" s="93" t="n"/>
      <c r="P68" s="93" t="n"/>
      <c r="Q68" s="93" t="n"/>
      <c r="R68" s="92">
        <f>IFERROR(MIN(G68:K68),"-")</f>
        <v/>
      </c>
      <c r="S68" s="9">
        <f>IFERROR(INDEX(M68:Q68,MATCH(MIN(G68:K68),G68:K68,0)),"-")</f>
        <v/>
      </c>
      <c r="T68" t="inlineStr">
        <is>
          <t>GASKET&amp;BOLT</t>
        </is>
      </c>
    </row>
    <row r="69" ht="24" customHeight="1">
      <c r="A69" s="90" t="n">
        <v>60</v>
      </c>
      <c r="C69" s="9" t="inlineStr">
        <is>
          <t>OZEL-060</t>
        </is>
      </c>
      <c r="D69" s="61" t="inlineStr">
        <is>
          <t>6", CS, SPIRAL WOUND GASKET, 304 / GRAPHITE \U+2013 CS, CENTERING RING, 4.5 MM, 150LB, RF , ASME B16.20, 150</t>
        </is>
      </c>
      <c r="E69" s="60" t="n"/>
      <c r="F69" s="60" t="n"/>
      <c r="G69" s="91" t="n"/>
      <c r="H69" s="91" t="n"/>
      <c r="I69" s="91" t="n"/>
      <c r="J69" s="91" t="n"/>
      <c r="K69" s="91" t="n"/>
      <c r="L69" s="92">
        <f>IFERROR(AVERAGEIF(G69:K69,"&gt;0"),"-")</f>
        <v/>
      </c>
      <c r="M69" s="93" t="n"/>
      <c r="N69" s="93" t="n"/>
      <c r="O69" s="93" t="n"/>
      <c r="P69" s="93" t="n"/>
      <c r="Q69" s="93" t="n"/>
      <c r="R69" s="92">
        <f>IFERROR(MIN(G69:K69),"-")</f>
        <v/>
      </c>
      <c r="S69" s="9">
        <f>IFERROR(INDEX(M69:Q69,MATCH(MIN(G69:K69),G69:K69,0)),"-")</f>
        <v/>
      </c>
      <c r="T69" t="inlineStr">
        <is>
          <t>GASKET&amp;BOLT</t>
        </is>
      </c>
    </row>
    <row r="70" ht="24" customHeight="1">
      <c r="A70" s="90" t="n">
        <v>61</v>
      </c>
      <c r="C70" s="9" t="inlineStr">
        <is>
          <t>OZEL-061</t>
        </is>
      </c>
      <c r="D70" s="61" t="inlineStr">
        <is>
          <t>8", CS, SPIRAL WOUND GASKET, 304 / GRAPHITE \U+2013 CS, CENTERING RING, 4.5 MM, 150LB, RF , ASME B16.20, 150</t>
        </is>
      </c>
      <c r="E70" s="60" t="n"/>
      <c r="F70" s="60" t="n"/>
      <c r="G70" s="96" t="n">
        <v>525</v>
      </c>
      <c r="H70" s="91" t="n"/>
      <c r="I70" s="91" t="n"/>
      <c r="J70" s="91" t="n"/>
      <c r="K70" s="91" t="n"/>
      <c r="L70" s="92">
        <f>IFERROR(AVERAGEIF(G70:K70,"&gt;0"),"-")</f>
        <v/>
      </c>
      <c r="M70" s="93" t="inlineStr">
        <is>
          <t>KLINGER</t>
        </is>
      </c>
      <c r="N70" s="93" t="n"/>
      <c r="O70" s="93" t="n"/>
      <c r="P70" s="93" t="n"/>
      <c r="Q70" s="93" t="n"/>
      <c r="R70" s="92">
        <f>IFERROR(MIN(G70:K70),"-")</f>
        <v/>
      </c>
      <c r="S70" s="9">
        <f>IFERROR(INDEX(M70:Q70,MATCH(MIN(G70:K70),G70:K70,0)),"-")</f>
        <v/>
      </c>
      <c r="T70" t="inlineStr">
        <is>
          <t>GASKET&amp;BOLT</t>
        </is>
      </c>
    </row>
    <row r="71" ht="24" customHeight="1">
      <c r="A71" s="90" t="n">
        <v>62</v>
      </c>
      <c r="C71" s="9" t="inlineStr">
        <is>
          <t>OZEL-062</t>
        </is>
      </c>
      <c r="D71" s="61" t="inlineStr">
        <is>
          <t>8", CS, SPIRAL WOUND GASKET, 304 / GRAPHITE \U+2013 CS, CENTERING RING, 4.5 MM, 150LB, RF , ASME B16.20, 300</t>
        </is>
      </c>
      <c r="E71" s="60" t="n"/>
      <c r="F71" s="60" t="n"/>
      <c r="G71" s="91" t="n"/>
      <c r="H71" s="91" t="n"/>
      <c r="I71" s="91" t="n"/>
      <c r="J71" s="91" t="n"/>
      <c r="K71" s="91" t="n"/>
      <c r="L71" s="92">
        <f>IFERROR(AVERAGEIF(G71:K71,"&gt;0"),"-")</f>
        <v/>
      </c>
      <c r="M71" s="93" t="n"/>
      <c r="N71" s="93" t="n"/>
      <c r="O71" s="93" t="n"/>
      <c r="P71" s="93" t="n"/>
      <c r="Q71" s="93" t="n"/>
      <c r="R71" s="92">
        <f>IFERROR(MIN(G71:K71),"-")</f>
        <v/>
      </c>
      <c r="S71" s="9">
        <f>IFERROR(INDEX(M71:Q71,MATCH(MIN(G71:K71),G71:K71,0)),"-")</f>
        <v/>
      </c>
      <c r="T71" t="inlineStr">
        <is>
          <t>GASKET&amp;BOLT</t>
        </is>
      </c>
    </row>
    <row r="72" ht="24" customHeight="1">
      <c r="A72" s="90" t="n">
        <v>63</v>
      </c>
      <c r="C72" s="9" t="inlineStr">
        <is>
          <t>OZEL-063</t>
        </is>
      </c>
      <c r="D72" s="61" t="inlineStr">
        <is>
          <t>1/2", CS, NIPPLE, ASTM A106 GRB OR A53 GRB, SAME AS PIPE, TOE (PEXTHD), L=100MM, ASME B36.10, 80</t>
        </is>
      </c>
      <c r="E72" s="60" t="n"/>
      <c r="F72" s="60" t="n"/>
      <c r="G72" s="91" t="n"/>
      <c r="H72" s="91" t="n"/>
      <c r="I72" s="91" t="n"/>
      <c r="J72" s="91" t="n"/>
      <c r="K72" s="91" t="n"/>
      <c r="L72" s="92">
        <f>IFERROR(AVERAGEIF(G72:K72,"&gt;0"),"-")</f>
        <v/>
      </c>
      <c r="M72" s="93" t="n"/>
      <c r="N72" s="93" t="n"/>
      <c r="O72" s="93" t="n"/>
      <c r="P72" s="93" t="n"/>
      <c r="Q72" s="93" t="n"/>
      <c r="R72" s="92">
        <f>IFERROR(MIN(G72:K72),"-")</f>
        <v/>
      </c>
      <c r="S72" s="9">
        <f>IFERROR(INDEX(M72:Q72,MATCH(MIN(G72:K72),G72:K72,0)),"-")</f>
        <v/>
      </c>
      <c r="T72" t="inlineStr">
        <is>
          <t>BORU</t>
        </is>
      </c>
    </row>
    <row r="73" ht="24" customHeight="1">
      <c r="A73" s="90" t="n">
        <v>64</v>
      </c>
      <c r="C73" s="9" t="inlineStr">
        <is>
          <t>OZEL-064</t>
        </is>
      </c>
      <c r="D73" s="61" t="inlineStr">
        <is>
          <t>1/2", CS, NIPPLE, ASTM A106 GRB OR A53 GRB, SAME AS PIPE,_x000D_
TOE (PEXTHD), L=100MM, ASME B36.10, 80</t>
        </is>
      </c>
      <c r="E73" s="60" t="n"/>
      <c r="F73" s="60" t="n"/>
      <c r="G73" s="91" t="n"/>
      <c r="H73" s="91" t="n"/>
      <c r="I73" s="91" t="n"/>
      <c r="J73" s="91" t="n"/>
      <c r="K73" s="91" t="n"/>
      <c r="L73" s="92">
        <f>IFERROR(AVERAGEIF(G73:K73,"&gt;0"),"-")</f>
        <v/>
      </c>
      <c r="M73" s="93" t="n"/>
      <c r="N73" s="93" t="n"/>
      <c r="O73" s="93" t="n"/>
      <c r="P73" s="93" t="n"/>
      <c r="Q73" s="93" t="n"/>
      <c r="R73" s="92">
        <f>IFERROR(MIN(G73:K73),"-")</f>
        <v/>
      </c>
      <c r="S73" s="9">
        <f>IFERROR(INDEX(M73:Q73,MATCH(MIN(G73:K73),G73:K73,0)),"-")</f>
        <v/>
      </c>
      <c r="T73" t="inlineStr">
        <is>
          <t>BORU</t>
        </is>
      </c>
    </row>
    <row r="74" ht="24" customHeight="1">
      <c r="A74" s="90" t="n">
        <v>65</v>
      </c>
      <c r="C74" s="9" t="inlineStr">
        <is>
          <t>OZEL-065</t>
        </is>
      </c>
      <c r="D74" s="61" t="inlineStr">
        <is>
          <t>1/2", CS, NIPPLE, ASTM A53 GRB, SAME AS PIPE, TOE (PEXTHD), L=100MM, ASME B36.10, 160</t>
        </is>
      </c>
      <c r="E74" s="60" t="n"/>
      <c r="F74" s="60" t="n"/>
      <c r="G74" s="91" t="n"/>
      <c r="H74" s="91" t="n"/>
      <c r="I74" s="91" t="n"/>
      <c r="J74" s="91" t="n"/>
      <c r="K74" s="91" t="n"/>
      <c r="L74" s="92">
        <f>IFERROR(AVERAGEIF(G74:K74,"&gt;0"),"-")</f>
        <v/>
      </c>
      <c r="M74" s="93" t="n"/>
      <c r="N74" s="93" t="n"/>
      <c r="O74" s="93" t="n"/>
      <c r="P74" s="93" t="n"/>
      <c r="Q74" s="93" t="n"/>
      <c r="R74" s="92">
        <f>IFERROR(MIN(G74:K74),"-")</f>
        <v/>
      </c>
      <c r="S74" s="9">
        <f>IFERROR(INDEX(M74:Q74,MATCH(MIN(G74:K74),G74:K74,0)),"-")</f>
        <v/>
      </c>
      <c r="T74" t="inlineStr">
        <is>
          <t>BORU</t>
        </is>
      </c>
    </row>
    <row r="75" ht="24" customHeight="1">
      <c r="A75" s="90" t="n">
        <v>66</v>
      </c>
      <c r="C75" s="9" t="inlineStr">
        <is>
          <t>OZEL-066</t>
        </is>
      </c>
      <c r="D75" s="61" t="inlineStr">
        <is>
          <t>12"x2", CS, SOCKOLET,  SW, 3000 LB, MSS SP97, ASTM A105, 3000</t>
        </is>
      </c>
      <c r="E75" s="60" t="n"/>
      <c r="F75" s="60" t="n"/>
      <c r="G75" s="91" t="n"/>
      <c r="H75" s="91" t="n"/>
      <c r="I75" s="91" t="n"/>
      <c r="J75" s="91" t="n"/>
      <c r="K75" s="91" t="n"/>
      <c r="L75" s="92">
        <f>IFERROR(AVERAGEIF(G75:K75,"&gt;0"),"-")</f>
        <v/>
      </c>
      <c r="M75" s="93" t="n"/>
      <c r="N75" s="93" t="n"/>
      <c r="O75" s="93" t="n"/>
      <c r="P75" s="93" t="n"/>
      <c r="Q75" s="93" t="n"/>
      <c r="R75" s="92">
        <f>IFERROR(MIN(G75:K75),"-")</f>
        <v/>
      </c>
      <c r="S75" s="9">
        <f>IFERROR(INDEX(M75:Q75,MATCH(MIN(G75:K75),G75:K75,0)),"-")</f>
        <v/>
      </c>
      <c r="T75" t="inlineStr">
        <is>
          <t>FİTTİNG</t>
        </is>
      </c>
    </row>
    <row r="76" ht="24" customHeight="1">
      <c r="A76" s="90" t="n">
        <v>67</v>
      </c>
      <c r="C76" s="9" t="inlineStr">
        <is>
          <t>OZEL-067</t>
        </is>
      </c>
      <c r="D76" s="61" t="inlineStr">
        <is>
          <t>12"x3/4", CS, SOCKOLET,  SW, 3000 LB, MSS SP97, ASTM A105, 3000</t>
        </is>
      </c>
      <c r="E76" s="60" t="n"/>
      <c r="F76" s="60" t="n"/>
      <c r="G76" s="91" t="n"/>
      <c r="H76" s="91" t="n"/>
      <c r="I76" s="91" t="n"/>
      <c r="J76" s="91" t="n"/>
      <c r="K76" s="91" t="n"/>
      <c r="L76" s="92">
        <f>IFERROR(AVERAGEIF(G76:K76,"&gt;0"),"-")</f>
        <v/>
      </c>
      <c r="M76" s="93" t="n"/>
      <c r="N76" s="93" t="n"/>
      <c r="O76" s="93" t="n"/>
      <c r="P76" s="93" t="n"/>
      <c r="Q76" s="93" t="n"/>
      <c r="R76" s="92">
        <f>IFERROR(MIN(G76:K76),"-")</f>
        <v/>
      </c>
      <c r="S76" s="9">
        <f>IFERROR(INDEX(M76:Q76,MATCH(MIN(G76:K76),G76:K76,0)),"-")</f>
        <v/>
      </c>
      <c r="T76" t="inlineStr">
        <is>
          <t>FİTTİNG</t>
        </is>
      </c>
    </row>
    <row r="77" ht="24" customHeight="1">
      <c r="A77" s="90" t="n">
        <v>68</v>
      </c>
      <c r="C77" s="9" t="inlineStr">
        <is>
          <t>OZEL-068</t>
        </is>
      </c>
      <c r="D77" s="61" t="inlineStr">
        <is>
          <t>3"x1/2", CS, SOCKOLET,  SW, 3000 LB, MSS SP97, ASTM A105, 3000</t>
        </is>
      </c>
      <c r="E77" s="60" t="n"/>
      <c r="F77" s="60" t="n"/>
      <c r="G77" s="91" t="n"/>
      <c r="H77" s="91" t="n"/>
      <c r="I77" s="91" t="n"/>
      <c r="J77" s="91" t="n"/>
      <c r="K77" s="91" t="n"/>
      <c r="L77" s="92">
        <f>IFERROR(AVERAGEIF(G77:K77,"&gt;0"),"-")</f>
        <v/>
      </c>
      <c r="M77" s="93" t="n"/>
      <c r="N77" s="93" t="n"/>
      <c r="O77" s="93" t="n"/>
      <c r="P77" s="93" t="n"/>
      <c r="Q77" s="93" t="n"/>
      <c r="R77" s="92">
        <f>IFERROR(MIN(G77:K77),"-")</f>
        <v/>
      </c>
      <c r="S77" s="9">
        <f>IFERROR(INDEX(M77:Q77,MATCH(MIN(G77:K77),G77:K77,0)),"-")</f>
        <v/>
      </c>
      <c r="T77" t="inlineStr">
        <is>
          <t>FİTTİNG</t>
        </is>
      </c>
    </row>
    <row r="78" ht="24" customHeight="1">
      <c r="A78" s="90" t="n">
        <v>69</v>
      </c>
      <c r="C78" s="9" t="inlineStr">
        <is>
          <t>OZEL-069</t>
        </is>
      </c>
      <c r="D78" s="61" t="inlineStr">
        <is>
          <t>3"x3/4", CS, SOCKOLET,  SW, 3000 LB, MSS SP97, ASTM A105, 3000</t>
        </is>
      </c>
      <c r="E78" s="60" t="n"/>
      <c r="F78" s="60" t="n"/>
      <c r="G78" s="91" t="n"/>
      <c r="H78" s="91" t="n"/>
      <c r="I78" s="91" t="n"/>
      <c r="J78" s="91" t="n"/>
      <c r="K78" s="91" t="n"/>
      <c r="L78" s="92">
        <f>IFERROR(AVERAGEIF(G78:K78,"&gt;0"),"-")</f>
        <v/>
      </c>
      <c r="M78" s="93" t="n"/>
      <c r="N78" s="93" t="n"/>
      <c r="O78" s="93" t="n"/>
      <c r="P78" s="93" t="n"/>
      <c r="Q78" s="93" t="n"/>
      <c r="R78" s="92">
        <f>IFERROR(MIN(G78:K78),"-")</f>
        <v/>
      </c>
      <c r="S78" s="9">
        <f>IFERROR(INDEX(M78:Q78,MATCH(MIN(G78:K78),G78:K78,0)),"-")</f>
        <v/>
      </c>
      <c r="T78" t="inlineStr">
        <is>
          <t>FİTTİNG</t>
        </is>
      </c>
    </row>
    <row r="79" ht="24" customHeight="1">
      <c r="A79" s="90" t="n">
        <v>70</v>
      </c>
      <c r="C79" s="9" t="inlineStr">
        <is>
          <t>OZEL-070</t>
        </is>
      </c>
      <c r="D79" s="61" t="inlineStr">
        <is>
          <t>4"x1/2", CS, SOCKOLET,  SW, 3000 LB, MSS SP97, ASTM A105, 3000</t>
        </is>
      </c>
      <c r="E79" s="60" t="n"/>
      <c r="F79" s="60" t="n"/>
      <c r="G79" s="91" t="n"/>
      <c r="H79" s="91" t="n"/>
      <c r="I79" s="91" t="n"/>
      <c r="J79" s="91" t="n"/>
      <c r="K79" s="91" t="n"/>
      <c r="L79" s="92">
        <f>IFERROR(AVERAGEIF(G79:K79,"&gt;0"),"-")</f>
        <v/>
      </c>
      <c r="M79" s="93" t="n"/>
      <c r="N79" s="93" t="n"/>
      <c r="O79" s="93" t="n"/>
      <c r="P79" s="93" t="n"/>
      <c r="Q79" s="93" t="n"/>
      <c r="R79" s="92">
        <f>IFERROR(MIN(G79:K79),"-")</f>
        <v/>
      </c>
      <c r="S79" s="9">
        <f>IFERROR(INDEX(M79:Q79,MATCH(MIN(G79:K79),G79:K79,0)),"-")</f>
        <v/>
      </c>
      <c r="T79" t="inlineStr">
        <is>
          <t>FİTTİNG</t>
        </is>
      </c>
    </row>
    <row r="80" ht="24" customHeight="1">
      <c r="A80" s="90" t="n">
        <v>71</v>
      </c>
      <c r="C80" s="9" t="inlineStr">
        <is>
          <t>OZEL-071</t>
        </is>
      </c>
      <c r="D80" s="61" t="inlineStr">
        <is>
          <t>4"x1/2", CS, SOCKOLET, SW, 6000LB, MSS SP97, ASTM A105, 6000</t>
        </is>
      </c>
      <c r="E80" s="60" t="n"/>
      <c r="F80" s="60" t="n"/>
      <c r="G80" s="91" t="n"/>
      <c r="H80" s="91" t="n"/>
      <c r="I80" s="91" t="n"/>
      <c r="J80" s="91" t="n"/>
      <c r="K80" s="91" t="n"/>
      <c r="L80" s="92">
        <f>IFERROR(AVERAGEIF(G80:K80,"&gt;0"),"-")</f>
        <v/>
      </c>
      <c r="M80" s="93" t="n"/>
      <c r="N80" s="93" t="n"/>
      <c r="O80" s="93" t="n"/>
      <c r="P80" s="93" t="n"/>
      <c r="Q80" s="93" t="n"/>
      <c r="R80" s="92">
        <f>IFERROR(MIN(G80:K80),"-")</f>
        <v/>
      </c>
      <c r="S80" s="9">
        <f>IFERROR(INDEX(M80:Q80,MATCH(MIN(G80:K80),G80:K80,0)),"-")</f>
        <v/>
      </c>
      <c r="T80" t="inlineStr">
        <is>
          <t>FİTTİNG</t>
        </is>
      </c>
    </row>
    <row r="81" ht="24" customHeight="1">
      <c r="A81" s="90" t="n">
        <v>72</v>
      </c>
      <c r="C81" s="9" t="inlineStr">
        <is>
          <t>OZEL-072</t>
        </is>
      </c>
      <c r="D81" s="61" t="inlineStr">
        <is>
          <t>4"x3/4", CS, SOCKOLET,  SW, 3000 LB, MSS SP97, ASTM A105, 3000</t>
        </is>
      </c>
      <c r="E81" s="60" t="n"/>
      <c r="F81" s="60" t="n"/>
      <c r="G81" s="91" t="n"/>
      <c r="H81" s="91" t="n"/>
      <c r="I81" s="91" t="n"/>
      <c r="J81" s="91" t="n"/>
      <c r="K81" s="91" t="n"/>
      <c r="L81" s="92">
        <f>IFERROR(AVERAGEIF(G81:K81,"&gt;0"),"-")</f>
        <v/>
      </c>
      <c r="M81" s="93" t="n"/>
      <c r="N81" s="93" t="n"/>
      <c r="O81" s="93" t="n"/>
      <c r="P81" s="93" t="n"/>
      <c r="Q81" s="93" t="n"/>
      <c r="R81" s="92">
        <f>IFERROR(MIN(G81:K81),"-")</f>
        <v/>
      </c>
      <c r="S81" s="9">
        <f>IFERROR(INDEX(M81:Q81,MATCH(MIN(G81:K81),G81:K81,0)),"-")</f>
        <v/>
      </c>
      <c r="T81" t="inlineStr">
        <is>
          <t>FİTTİNG</t>
        </is>
      </c>
    </row>
    <row r="82" ht="24" customHeight="1">
      <c r="A82" s="90" t="n">
        <v>73</v>
      </c>
      <c r="C82" s="9" t="inlineStr">
        <is>
          <t>OZEL-073</t>
        </is>
      </c>
      <c r="D82" s="61" t="inlineStr">
        <is>
          <t>4"x3/4", CS, SOCKOLET, SW, 6000LB, MSS SP97, ASTM A105, 6000</t>
        </is>
      </c>
      <c r="E82" s="60" t="n"/>
      <c r="F82" s="60" t="n"/>
      <c r="G82" s="91" t="n"/>
      <c r="H82" s="91" t="n"/>
      <c r="I82" s="91" t="n"/>
      <c r="J82" s="91" t="n"/>
      <c r="K82" s="91" t="n"/>
      <c r="L82" s="92">
        <f>IFERROR(AVERAGEIF(G82:K82,"&gt;0"),"-")</f>
        <v/>
      </c>
      <c r="M82" s="93" t="n"/>
      <c r="N82" s="93" t="n"/>
      <c r="O82" s="93" t="n"/>
      <c r="P82" s="93" t="n"/>
      <c r="Q82" s="93" t="n"/>
      <c r="R82" s="92">
        <f>IFERROR(MIN(G82:K82),"-")</f>
        <v/>
      </c>
      <c r="S82" s="9">
        <f>IFERROR(INDEX(M82:Q82,MATCH(MIN(G82:K82),G82:K82,0)),"-")</f>
        <v/>
      </c>
      <c r="T82" t="inlineStr">
        <is>
          <t>FİTTİNG</t>
        </is>
      </c>
    </row>
    <row r="83" ht="24" customHeight="1">
      <c r="A83" s="90" t="n">
        <v>74</v>
      </c>
      <c r="C83" s="9" t="inlineStr">
        <is>
          <t>OZEL-074</t>
        </is>
      </c>
      <c r="D83" s="61" t="inlineStr">
        <is>
          <t>6"x1/2", CS, SOCKOLET,  SW, 3000 LB, MSS SP97, ASTM A105, 3000</t>
        </is>
      </c>
      <c r="E83" s="60" t="n"/>
      <c r="F83" s="60" t="n"/>
      <c r="G83" s="91" t="n"/>
      <c r="H83" s="91" t="n"/>
      <c r="I83" s="91" t="n"/>
      <c r="J83" s="91" t="n"/>
      <c r="K83" s="91" t="n"/>
      <c r="L83" s="92">
        <f>IFERROR(AVERAGEIF(G83:K83,"&gt;0"),"-")</f>
        <v/>
      </c>
      <c r="M83" s="93" t="n"/>
      <c r="N83" s="93" t="n"/>
      <c r="O83" s="93" t="n"/>
      <c r="P83" s="93" t="n"/>
      <c r="Q83" s="93" t="n"/>
      <c r="R83" s="92">
        <f>IFERROR(MIN(G83:K83),"-")</f>
        <v/>
      </c>
      <c r="S83" s="9">
        <f>IFERROR(INDEX(M83:Q83,MATCH(MIN(G83:K83),G83:K83,0)),"-")</f>
        <v/>
      </c>
      <c r="T83" t="inlineStr">
        <is>
          <t>FİTTİNG</t>
        </is>
      </c>
    </row>
    <row r="84" ht="24" customHeight="1">
      <c r="A84" s="90" t="n">
        <v>75</v>
      </c>
      <c r="C84" s="9" t="inlineStr">
        <is>
          <t>OZEL-075</t>
        </is>
      </c>
      <c r="D84" s="61" t="inlineStr">
        <is>
          <t>6"x3/4", CS, SOCKOLET,  SW, 3000 LB, MSS SP97, ASTM A105, 3000</t>
        </is>
      </c>
      <c r="E84" s="60" t="n"/>
      <c r="F84" s="60" t="n"/>
      <c r="G84" s="91" t="n"/>
      <c r="H84" s="91" t="n"/>
      <c r="I84" s="91" t="n"/>
      <c r="J84" s="91" t="n"/>
      <c r="K84" s="91" t="n"/>
      <c r="L84" s="92">
        <f>IFERROR(AVERAGEIF(G84:K84,"&gt;0"),"-")</f>
        <v/>
      </c>
      <c r="M84" s="93" t="n"/>
      <c r="N84" s="93" t="n"/>
      <c r="O84" s="93" t="n"/>
      <c r="P84" s="93" t="n"/>
      <c r="Q84" s="93" t="n"/>
      <c r="R84" s="92">
        <f>IFERROR(MIN(G84:K84),"-")</f>
        <v/>
      </c>
      <c r="S84" s="9">
        <f>IFERROR(INDEX(M84:Q84,MATCH(MIN(G84:K84),G84:K84,0)),"-")</f>
        <v/>
      </c>
      <c r="T84" t="inlineStr">
        <is>
          <t>FİTTİNG</t>
        </is>
      </c>
    </row>
    <row r="85" ht="24" customHeight="1">
      <c r="A85" s="90" t="n">
        <v>76</v>
      </c>
      <c r="C85" s="9" t="inlineStr">
        <is>
          <t>OZEL-076</t>
        </is>
      </c>
      <c r="D85" s="61" t="inlineStr">
        <is>
          <t>4"x1/2", CS, THREADOLET, ASTM A105, 3000LB, THREADED FEMALE ENDS, MSS SP97., 3000</t>
        </is>
      </c>
      <c r="E85" s="60" t="n"/>
      <c r="F85" s="60" t="n"/>
      <c r="G85" s="91" t="n"/>
      <c r="H85" s="91" t="n"/>
      <c r="I85" s="91" t="n"/>
      <c r="J85" s="91" t="n"/>
      <c r="K85" s="91" t="n"/>
      <c r="L85" s="92">
        <f>IFERROR(AVERAGEIF(G85:K85,"&gt;0"),"-")</f>
        <v/>
      </c>
      <c r="M85" s="93" t="n"/>
      <c r="N85" s="93" t="n"/>
      <c r="O85" s="93" t="n"/>
      <c r="P85" s="93" t="n"/>
      <c r="Q85" s="93" t="n"/>
      <c r="R85" s="92">
        <f>IFERROR(MIN(G85:K85),"-")</f>
        <v/>
      </c>
      <c r="S85" s="9">
        <f>IFERROR(INDEX(M85:Q85,MATCH(MIN(G85:K85),G85:K85,0)),"-")</f>
        <v/>
      </c>
      <c r="T85" t="inlineStr">
        <is>
          <t>FİTTİNG</t>
        </is>
      </c>
    </row>
    <row r="86" ht="24" customHeight="1">
      <c r="A86" s="90" t="n">
        <v>77</v>
      </c>
      <c r="C86" s="9" t="inlineStr">
        <is>
          <t>OZEL-077</t>
        </is>
      </c>
      <c r="D86" s="61" t="inlineStr">
        <is>
          <t>6"x1/2", CS, THREADOLET, ASTM A105, 3000LB, THREADED FEMALE ENDS, MSS SP97., 3000</t>
        </is>
      </c>
      <c r="E86" s="60" t="n"/>
      <c r="F86" s="60" t="n"/>
      <c r="G86" s="91" t="n"/>
      <c r="H86" s="91" t="n"/>
      <c r="I86" s="91" t="n"/>
      <c r="J86" s="91" t="n"/>
      <c r="K86" s="91" t="n"/>
      <c r="L86" s="92">
        <f>IFERROR(AVERAGEIF(G86:K86,"&gt;0"),"-")</f>
        <v/>
      </c>
      <c r="M86" s="93" t="n"/>
      <c r="N86" s="93" t="n"/>
      <c r="O86" s="93" t="n"/>
      <c r="P86" s="93" t="n"/>
      <c r="Q86" s="93" t="n"/>
      <c r="R86" s="92">
        <f>IFERROR(MIN(G86:K86),"-")</f>
        <v/>
      </c>
      <c r="S86" s="9">
        <f>IFERROR(INDEX(M86:Q86,MATCH(MIN(G86:K86),G86:K86,0)),"-")</f>
        <v/>
      </c>
      <c r="T86" t="inlineStr">
        <is>
          <t>FİTTİNG</t>
        </is>
      </c>
    </row>
    <row r="87" ht="24" customHeight="1">
      <c r="A87" s="90" t="n">
        <v>78</v>
      </c>
      <c r="C87" s="9" t="inlineStr">
        <is>
          <t>OZEL-078</t>
        </is>
      </c>
      <c r="D87" s="61" t="inlineStr">
        <is>
          <t>12"x4", CS, WELDOLET, BW/SW, ASTM A234 WPB/ ASTM A105, SCH STD, MSS SP-97, STD</t>
        </is>
      </c>
      <c r="E87" s="60" t="n"/>
      <c r="F87" s="60" t="n"/>
      <c r="G87" s="91" t="n"/>
      <c r="H87" s="91" t="n"/>
      <c r="I87" s="91" t="n"/>
      <c r="J87" s="91" t="n"/>
      <c r="K87" s="91" t="n"/>
      <c r="L87" s="92">
        <f>IFERROR(AVERAGEIF(G87:K87,"&gt;0"),"-")</f>
        <v/>
      </c>
      <c r="M87" s="93" t="n"/>
      <c r="N87" s="93" t="n"/>
      <c r="O87" s="93" t="n"/>
      <c r="P87" s="93" t="n"/>
      <c r="Q87" s="93" t="n"/>
      <c r="R87" s="92">
        <f>IFERROR(MIN(G87:K87),"-")</f>
        <v/>
      </c>
      <c r="S87" s="9">
        <f>IFERROR(INDEX(M87:Q87,MATCH(MIN(G87:K87),G87:K87,0)),"-")</f>
        <v/>
      </c>
      <c r="T87" t="inlineStr">
        <is>
          <t>FİTTİNG</t>
        </is>
      </c>
    </row>
    <row r="88" ht="24" customHeight="1">
      <c r="A88" s="90" t="n">
        <v>79</v>
      </c>
      <c r="C88" s="9" t="inlineStr">
        <is>
          <t>OZEL-079</t>
        </is>
      </c>
      <c r="D88" s="61" t="inlineStr">
        <is>
          <t>1 1/2", CS, PIPE, ASTM A 106 GR.B OR ASTM A53 GR.B, ASME B36.10, SEAMLESS, PLAIN ENDS, 80</t>
        </is>
      </c>
      <c r="E88" s="60" t="n"/>
      <c r="F88" s="60" t="n"/>
      <c r="G88" s="91" t="n"/>
      <c r="H88" s="91" t="n"/>
      <c r="I88" s="91" t="n"/>
      <c r="J88" s="91" t="n"/>
      <c r="K88" s="91" t="n"/>
      <c r="L88" s="92">
        <f>IFERROR(AVERAGEIF(G88:K88,"&gt;0"),"-")</f>
        <v/>
      </c>
      <c r="M88" s="93" t="n"/>
      <c r="N88" s="93" t="n"/>
      <c r="O88" s="93" t="n"/>
      <c r="P88" s="93" t="n"/>
      <c r="Q88" s="93" t="n"/>
      <c r="R88" s="92">
        <f>IFERROR(MIN(G88:K88),"-")</f>
        <v/>
      </c>
      <c r="S88" s="9">
        <f>IFERROR(INDEX(M88:Q88,MATCH(MIN(G88:K88),G88:K88,0)),"-")</f>
        <v/>
      </c>
      <c r="T88" t="inlineStr">
        <is>
          <t>BORU</t>
        </is>
      </c>
    </row>
    <row r="89" ht="24" customHeight="1">
      <c r="A89" s="90" t="n">
        <v>80</v>
      </c>
      <c r="C89" s="9" t="inlineStr">
        <is>
          <t>OZEL-080</t>
        </is>
      </c>
      <c r="D89" s="61" t="inlineStr">
        <is>
          <t>1 1/4", CS, PIPE, ASTM A 106 GR.B OR ASTM A53 GR.B, ASME B36.10, SEAMLESS, PLAIN ENDS, 80</t>
        </is>
      </c>
      <c r="E89" s="60" t="n"/>
      <c r="F89" s="60" t="n"/>
      <c r="G89" s="91" t="n"/>
      <c r="H89" s="91" t="n"/>
      <c r="I89" s="91" t="n"/>
      <c r="J89" s="91" t="n"/>
      <c r="K89" s="91" t="n"/>
      <c r="L89" s="92">
        <f>IFERROR(AVERAGEIF(G89:K89,"&gt;0"),"-")</f>
        <v/>
      </c>
      <c r="M89" s="93" t="n"/>
      <c r="N89" s="93" t="n"/>
      <c r="O89" s="93" t="n"/>
      <c r="P89" s="93" t="n"/>
      <c r="Q89" s="93" t="n"/>
      <c r="R89" s="92">
        <f>IFERROR(MIN(G89:K89),"-")</f>
        <v/>
      </c>
      <c r="S89" s="9">
        <f>IFERROR(INDEX(M89:Q89,MATCH(MIN(G89:K89),G89:K89,0)),"-")</f>
        <v/>
      </c>
      <c r="T89" t="inlineStr">
        <is>
          <t>BORU</t>
        </is>
      </c>
    </row>
    <row r="90" ht="24" customHeight="1">
      <c r="A90" s="90" t="n">
        <v>81</v>
      </c>
      <c r="C90" s="9" t="inlineStr">
        <is>
          <t>OZEL-081</t>
        </is>
      </c>
      <c r="D90" s="61" t="inlineStr">
        <is>
          <t>2", CS, PIPE, ASTM A 106 GR.B OR ASTM A53 GR.B, ASME B36.10, SEAMLESS, PLAIN ENDS, 80</t>
        </is>
      </c>
      <c r="E90" s="60" t="n"/>
      <c r="F90" s="60" t="n"/>
      <c r="G90" s="91" t="n"/>
      <c r="H90" s="91" t="n"/>
      <c r="I90" s="91" t="n"/>
      <c r="J90" s="91" t="n"/>
      <c r="K90" s="91" t="n"/>
      <c r="L90" s="92">
        <f>IFERROR(AVERAGEIF(G90:K90,"&gt;0"),"-")</f>
        <v/>
      </c>
      <c r="M90" s="93" t="n"/>
      <c r="N90" s="93" t="n"/>
      <c r="O90" s="93" t="n"/>
      <c r="P90" s="93" t="n"/>
      <c r="Q90" s="93" t="n"/>
      <c r="R90" s="92">
        <f>IFERROR(MIN(G90:K90),"-")</f>
        <v/>
      </c>
      <c r="S90" s="9">
        <f>IFERROR(INDEX(M90:Q90,MATCH(MIN(G90:K90),G90:K90,0)),"-")</f>
        <v/>
      </c>
      <c r="T90" t="inlineStr">
        <is>
          <t>BORU</t>
        </is>
      </c>
    </row>
    <row r="91" ht="24" customHeight="1">
      <c r="A91" s="90" t="n">
        <v>82</v>
      </c>
      <c r="C91" s="9" t="inlineStr">
        <is>
          <t>OZEL-082</t>
        </is>
      </c>
      <c r="D91" s="61" t="inlineStr">
        <is>
          <t>3/4", CS, PIPE, ASTM A 106 GR.B OR ASTM A53 GR.B, ASME B36.10, SEAMLESS, PLAIN ENDS, 80</t>
        </is>
      </c>
      <c r="E91" s="60" t="n"/>
      <c r="F91" s="60" t="n"/>
      <c r="G91" s="91" t="n"/>
      <c r="H91" s="91" t="n"/>
      <c r="I91" s="91" t="n"/>
      <c r="J91" s="91" t="n"/>
      <c r="K91" s="91" t="n"/>
      <c r="L91" s="92">
        <f>IFERROR(AVERAGEIF(G91:K91,"&gt;0"),"-")</f>
        <v/>
      </c>
      <c r="M91" s="93" t="n"/>
      <c r="N91" s="93" t="n"/>
      <c r="O91" s="93" t="n"/>
      <c r="P91" s="93" t="n"/>
      <c r="Q91" s="93" t="n"/>
      <c r="R91" s="92">
        <f>IFERROR(MIN(G91:K91),"-")</f>
        <v/>
      </c>
      <c r="S91" s="9">
        <f>IFERROR(INDEX(M91:Q91,MATCH(MIN(G91:K91),G91:K91,0)),"-")</f>
        <v/>
      </c>
      <c r="T91" t="inlineStr">
        <is>
          <t>BORU</t>
        </is>
      </c>
    </row>
    <row r="92" ht="24" customHeight="1">
      <c r="A92" s="90" t="n">
        <v>83</v>
      </c>
      <c r="C92" s="9" t="inlineStr">
        <is>
          <t>OZEL-083</t>
        </is>
      </c>
      <c r="D92" s="61" t="inlineStr">
        <is>
          <t>3/4", CS, PIPE, SEAMLESS, ASTM A53-GR.B, PE, ASME B36.10, 160</t>
        </is>
      </c>
      <c r="E92" s="60" t="n"/>
      <c r="F92" s="60" t="n"/>
      <c r="G92" s="91" t="n"/>
      <c r="H92" s="91" t="n"/>
      <c r="I92" s="91" t="n"/>
      <c r="J92" s="91" t="n"/>
      <c r="K92" s="91" t="n"/>
      <c r="L92" s="92">
        <f>IFERROR(AVERAGEIF(G92:K92,"&gt;0"),"-")</f>
        <v/>
      </c>
      <c r="M92" s="93" t="n"/>
      <c r="N92" s="93" t="n"/>
      <c r="O92" s="93" t="n"/>
      <c r="P92" s="93" t="n"/>
      <c r="Q92" s="93" t="n"/>
      <c r="R92" s="92">
        <f>IFERROR(MIN(G92:K92),"-")</f>
        <v/>
      </c>
      <c r="S92" s="9">
        <f>IFERROR(INDEX(M92:Q92,MATCH(MIN(G92:K92),G92:K92,0)),"-")</f>
        <v/>
      </c>
      <c r="T92" t="inlineStr">
        <is>
          <t>BORU</t>
        </is>
      </c>
    </row>
    <row r="93" ht="24" customHeight="1">
      <c r="A93" s="90" t="n">
        <v>84</v>
      </c>
      <c r="C93" s="9" t="inlineStr">
        <is>
          <t>OZEL-084</t>
        </is>
      </c>
      <c r="D93" s="61" t="inlineStr">
        <is>
          <t>4", CS, PIPE, SEAMLESS, ASTM A53-GR.B, BE, ASME B36.10, 40</t>
        </is>
      </c>
      <c r="E93" s="60" t="n"/>
      <c r="F93" s="60" t="n"/>
      <c r="G93" s="91" t="n"/>
      <c r="H93" s="91" t="n"/>
      <c r="I93" s="91" t="n"/>
      <c r="J93" s="91" t="n"/>
      <c r="K93" s="91" t="n"/>
      <c r="L93" s="92">
        <f>IFERROR(AVERAGEIF(G93:K93,"&gt;0"),"-")</f>
        <v/>
      </c>
      <c r="M93" s="93" t="n"/>
      <c r="N93" s="93" t="n"/>
      <c r="O93" s="93" t="n"/>
      <c r="P93" s="93" t="n"/>
      <c r="Q93" s="93" t="n"/>
      <c r="R93" s="92">
        <f>IFERROR(MIN(G93:K93),"-")</f>
        <v/>
      </c>
      <c r="S93" s="9">
        <f>IFERROR(INDEX(M93:Q93,MATCH(MIN(G93:K93),G93:K93,0)),"-")</f>
        <v/>
      </c>
      <c r="T93" t="inlineStr">
        <is>
          <t>BORU</t>
        </is>
      </c>
    </row>
    <row r="94" ht="24" customHeight="1">
      <c r="A94" s="90" t="n">
        <v>85</v>
      </c>
      <c r="C94" s="9" t="inlineStr">
        <is>
          <t>OZEL-085</t>
        </is>
      </c>
      <c r="D94" s="61" t="inlineStr">
        <is>
          <t>8", CS, PIPE, SEAMLESS, ASTM A53-GR.B, BE, ASME B36.10, 40</t>
        </is>
      </c>
      <c r="E94" s="60" t="n"/>
      <c r="F94" s="60" t="n"/>
      <c r="G94" s="91" t="n"/>
      <c r="H94" s="91" t="n"/>
      <c r="I94" s="91" t="n"/>
      <c r="J94" s="91" t="n"/>
      <c r="K94" s="91" t="n"/>
      <c r="L94" s="92">
        <f>IFERROR(AVERAGEIF(G94:K94,"&gt;0"),"-")</f>
        <v/>
      </c>
      <c r="M94" s="93" t="n"/>
      <c r="N94" s="93" t="n"/>
      <c r="O94" s="93" t="n"/>
      <c r="P94" s="93" t="n"/>
      <c r="Q94" s="93" t="n"/>
      <c r="R94" s="92">
        <f>IFERROR(MIN(G94:K94),"-")</f>
        <v/>
      </c>
      <c r="S94" s="9">
        <f>IFERROR(INDEX(M94:Q94,MATCH(MIN(G94:K94),G94:K94,0)),"-")</f>
        <v/>
      </c>
      <c r="T94" t="inlineStr">
        <is>
          <t>BORU</t>
        </is>
      </c>
    </row>
    <row r="95" ht="24" customHeight="1">
      <c r="A95" s="90" t="n">
        <v>86</v>
      </c>
      <c r="C95" s="9" t="inlineStr">
        <is>
          <t>OZEL-086</t>
        </is>
      </c>
      <c r="D95" s="61" t="inlineStr">
        <is>
          <t>12", CS, PIPE, ASTM A 106 GR.B OR API 5L GR B PSL1, ASME 36.10, SAW-SAWL, BEVELED ENDS, 20</t>
        </is>
      </c>
      <c r="E95" s="60" t="n"/>
      <c r="F95" s="60" t="n"/>
      <c r="G95" s="91" t="n"/>
      <c r="H95" s="91" t="n"/>
      <c r="I95" s="91" t="n"/>
      <c r="J95" s="91" t="n"/>
      <c r="K95" s="91" t="n"/>
      <c r="L95" s="92">
        <f>IFERROR(AVERAGEIF(G95:K95,"&gt;0"),"-")</f>
        <v/>
      </c>
      <c r="M95" s="93" t="n"/>
      <c r="N95" s="93" t="n"/>
      <c r="O95" s="93" t="n"/>
      <c r="P95" s="93" t="n"/>
      <c r="Q95" s="93" t="n"/>
      <c r="R95" s="92">
        <f>IFERROR(MIN(G95:K95),"-")</f>
        <v/>
      </c>
      <c r="S95" s="9">
        <f>IFERROR(INDEX(M95:Q95,MATCH(MIN(G95:K95),G95:K95,0)),"-")</f>
        <v/>
      </c>
      <c r="T95" t="inlineStr">
        <is>
          <t>BORU</t>
        </is>
      </c>
    </row>
    <row r="96" ht="24" customHeight="1">
      <c r="A96" s="90" t="n">
        <v>87</v>
      </c>
      <c r="C96" s="9" t="inlineStr">
        <is>
          <t>OZEL-087</t>
        </is>
      </c>
      <c r="D96" s="61" t="inlineStr">
        <is>
          <t>12", CS, PIPE, ASTM A 106 GR.B OR ASTM A53 GR.B, ASME B36.10, SAW-SAWL, BEVELED ENDS, 40</t>
        </is>
      </c>
      <c r="E96" s="60" t="n"/>
      <c r="F96" s="60" t="n"/>
      <c r="G96" s="91" t="n"/>
      <c r="H96" s="91" t="n"/>
      <c r="I96" s="91" t="n"/>
      <c r="J96" s="91" t="n"/>
      <c r="K96" s="91" t="n"/>
      <c r="L96" s="92">
        <f>IFERROR(AVERAGEIF(G96:K96,"&gt;0"),"-")</f>
        <v/>
      </c>
      <c r="M96" s="93" t="n"/>
      <c r="N96" s="93" t="n"/>
      <c r="O96" s="93" t="n"/>
      <c r="P96" s="93" t="n"/>
      <c r="Q96" s="93" t="n"/>
      <c r="R96" s="92">
        <f>IFERROR(MIN(G96:K96),"-")</f>
        <v/>
      </c>
      <c r="S96" s="9">
        <f>IFERROR(INDEX(M96:Q96,MATCH(MIN(G96:K96),G96:K96,0)),"-")</f>
        <v/>
      </c>
      <c r="T96" t="inlineStr">
        <is>
          <t>BORU</t>
        </is>
      </c>
    </row>
    <row r="97" ht="24" customHeight="1">
      <c r="A97" s="90" t="n">
        <v>88</v>
      </c>
      <c r="C97" s="9" t="inlineStr">
        <is>
          <t>OZEL-088</t>
        </is>
      </c>
      <c r="D97" s="61" t="inlineStr">
        <is>
          <t>3", CS, PIPE, ASTM A 106 GR.B OR ASTM A53 GR.B, ASME B36.10, SAW-SAWL, BEVELED ENDS, 40</t>
        </is>
      </c>
      <c r="E97" s="60" t="n"/>
      <c r="F97" s="60" t="n"/>
      <c r="G97" s="91" t="n"/>
      <c r="H97" s="91" t="n"/>
      <c r="I97" s="91" t="n"/>
      <c r="J97" s="91" t="n"/>
      <c r="K97" s="91" t="n"/>
      <c r="L97" s="92">
        <f>IFERROR(AVERAGEIF(G97:K97,"&gt;0"),"-")</f>
        <v/>
      </c>
      <c r="M97" s="93" t="n"/>
      <c r="N97" s="93" t="n"/>
      <c r="O97" s="93" t="n"/>
      <c r="P97" s="93" t="n"/>
      <c r="Q97" s="93" t="n"/>
      <c r="R97" s="92">
        <f>IFERROR(MIN(G97:K97),"-")</f>
        <v/>
      </c>
      <c r="S97" s="9">
        <f>IFERROR(INDEX(M97:Q97,MATCH(MIN(G97:K97),G97:K97,0)),"-")</f>
        <v/>
      </c>
      <c r="T97" t="inlineStr">
        <is>
          <t>BORU</t>
        </is>
      </c>
    </row>
    <row r="98" ht="24" customHeight="1">
      <c r="A98" s="90" t="n">
        <v>89</v>
      </c>
      <c r="C98" s="9" t="inlineStr">
        <is>
          <t>OZEL-089</t>
        </is>
      </c>
      <c r="D98" s="61" t="inlineStr">
        <is>
          <t>4", CS, PIPE, ASTM A 106 GR.B OR ASTM A53 GR.B, ASME B36.10, SAW-SAWL, BEVELED ENDS, 40</t>
        </is>
      </c>
      <c r="E98" s="60" t="n"/>
      <c r="F98" s="60" t="n"/>
      <c r="G98" s="91" t="n"/>
      <c r="H98" s="91" t="n"/>
      <c r="I98" s="91" t="n"/>
      <c r="J98" s="91" t="n"/>
      <c r="K98" s="91" t="n"/>
      <c r="L98" s="92">
        <f>IFERROR(AVERAGEIF(G98:K98,"&gt;0"),"-")</f>
        <v/>
      </c>
      <c r="M98" s="93" t="n"/>
      <c r="N98" s="93" t="n"/>
      <c r="O98" s="93" t="n"/>
      <c r="P98" s="93" t="n"/>
      <c r="Q98" s="93" t="n"/>
      <c r="R98" s="92">
        <f>IFERROR(MIN(G98:K98),"-")</f>
        <v/>
      </c>
      <c r="S98" s="9">
        <f>IFERROR(INDEX(M98:Q98,MATCH(MIN(G98:K98),G98:K98,0)),"-")</f>
        <v/>
      </c>
      <c r="T98" t="inlineStr">
        <is>
          <t>BORU</t>
        </is>
      </c>
    </row>
    <row r="99" ht="24" customHeight="1">
      <c r="A99" s="90" t="n">
        <v>90</v>
      </c>
      <c r="C99" s="9" t="inlineStr">
        <is>
          <t>OZEL-090</t>
        </is>
      </c>
      <c r="D99" s="61" t="inlineStr">
        <is>
          <t>6", CS, PIPE, ASTM A 106 GR.B OR ASTM A53 GR.B, ASME B36.10, SAW-SAWL, BEVELED ENDS, 40</t>
        </is>
      </c>
      <c r="E99" s="60" t="n"/>
      <c r="F99" s="60" t="n"/>
      <c r="G99" s="91" t="n"/>
      <c r="H99" s="91" t="n"/>
      <c r="I99" s="91" t="n"/>
      <c r="J99" s="91" t="n"/>
      <c r="K99" s="91" t="n"/>
      <c r="L99" s="92">
        <f>IFERROR(AVERAGEIF(G99:K99,"&gt;0"),"-")</f>
        <v/>
      </c>
      <c r="M99" s="93" t="n"/>
      <c r="N99" s="93" t="n"/>
      <c r="O99" s="93" t="n"/>
      <c r="P99" s="93" t="n"/>
      <c r="Q99" s="93" t="n"/>
      <c r="R99" s="92">
        <f>IFERROR(MIN(G99:K99),"-")</f>
        <v/>
      </c>
      <c r="S99" s="9">
        <f>IFERROR(INDEX(M99:Q99,MATCH(MIN(G99:K99),G99:K99,0)),"-")</f>
        <v/>
      </c>
      <c r="T99" t="inlineStr">
        <is>
          <t>BORU</t>
        </is>
      </c>
    </row>
    <row r="100" ht="24" customHeight="1">
      <c r="A100" s="90" t="n">
        <v>91</v>
      </c>
      <c r="C100" s="9" t="inlineStr">
        <is>
          <t>OZEL-091</t>
        </is>
      </c>
      <c r="D100" s="61" t="inlineStr">
        <is>
          <t>8", CS, PIPE, ASTM A 106 GR.B OR API 5L GR B PSL1, ASME 36.10, SAW-SAWL, BEVELED ENDS, 20</t>
        </is>
      </c>
      <c r="E100" s="60" t="n"/>
      <c r="F100" s="60" t="n"/>
      <c r="G100" s="91" t="n"/>
      <c r="H100" s="91" t="n"/>
      <c r="I100" s="91" t="n"/>
      <c r="J100" s="91" t="n"/>
      <c r="K100" s="91" t="n"/>
      <c r="L100" s="92">
        <f>IFERROR(AVERAGEIF(G100:K100,"&gt;0"),"-")</f>
        <v/>
      </c>
      <c r="M100" s="93" t="n"/>
      <c r="N100" s="93" t="n"/>
      <c r="O100" s="93" t="n"/>
      <c r="P100" s="93" t="n"/>
      <c r="Q100" s="93" t="n"/>
      <c r="R100" s="92">
        <f>IFERROR(MIN(G100:K100),"-")</f>
        <v/>
      </c>
      <c r="S100" s="9">
        <f>IFERROR(INDEX(M100:Q100,MATCH(MIN(G100:K100),G100:K100,0)),"-")</f>
        <v/>
      </c>
      <c r="T100" t="inlineStr">
        <is>
          <t>BORU</t>
        </is>
      </c>
    </row>
    <row r="101" ht="24" customHeight="1">
      <c r="A101" s="90" t="n">
        <v>92</v>
      </c>
      <c r="C101" s="9" t="inlineStr">
        <is>
          <t>OZEL-092</t>
        </is>
      </c>
      <c r="D101" s="61" t="inlineStr">
        <is>
          <t>8", CS, PIPE, ASTM A 106 GR.B OR ASTM A53 GR.B, ASME B36.10, SAW-SAWL, BEVELED ENDS, 40</t>
        </is>
      </c>
      <c r="E101" s="60" t="n"/>
      <c r="F101" s="60" t="n"/>
      <c r="G101" s="91" t="n"/>
      <c r="H101" s="91" t="n"/>
      <c r="I101" s="91" t="n"/>
      <c r="J101" s="91" t="n"/>
      <c r="K101" s="91" t="n"/>
      <c r="L101" s="92">
        <f>IFERROR(AVERAGEIF(G101:K101,"&gt;0"),"-")</f>
        <v/>
      </c>
      <c r="M101" s="93" t="n"/>
      <c r="N101" s="93" t="n"/>
      <c r="O101" s="93" t="n"/>
      <c r="P101" s="93" t="n"/>
      <c r="Q101" s="93" t="n"/>
      <c r="R101" s="92">
        <f>IFERROR(MIN(G101:K101),"-")</f>
        <v/>
      </c>
      <c r="S101" s="9">
        <f>IFERROR(INDEX(M101:Q101,MATCH(MIN(G101:K101),G101:K101,0)),"-")</f>
        <v/>
      </c>
      <c r="T101" t="inlineStr">
        <is>
          <t>BORU</t>
        </is>
      </c>
    </row>
    <row r="102" ht="24" customHeight="1">
      <c r="A102" s="90" t="n">
        <v>93</v>
      </c>
      <c r="C102" s="9" t="inlineStr">
        <is>
          <t>OZEL-093</t>
        </is>
      </c>
      <c r="D102" s="61" t="inlineStr">
        <is>
          <t>2", CS, PLUG, ROUND HEAD, ASTM A105, 3000LB, THDM, ASME B16.11, 3000</t>
        </is>
      </c>
      <c r="E102" s="60" t="n"/>
      <c r="F102" s="60" t="n"/>
      <c r="G102" s="91" t="n"/>
      <c r="H102" s="91" t="n"/>
      <c r="I102" s="91" t="n"/>
      <c r="J102" s="91" t="n"/>
      <c r="K102" s="91" t="n"/>
      <c r="L102" s="92">
        <f>IFERROR(AVERAGEIF(G102:K102,"&gt;0"),"-")</f>
        <v/>
      </c>
      <c r="M102" s="93" t="n"/>
      <c r="N102" s="93" t="n"/>
      <c r="O102" s="93" t="n"/>
      <c r="P102" s="93" t="n"/>
      <c r="Q102" s="93" t="n"/>
      <c r="R102" s="92">
        <f>IFERROR(MIN(G102:K102),"-")</f>
        <v/>
      </c>
      <c r="S102" s="9">
        <f>IFERROR(INDEX(M102:Q102,MATCH(MIN(G102:K102),G102:K102,0)),"-")</f>
        <v/>
      </c>
      <c r="T102" t="inlineStr">
        <is>
          <t>FİTTİNG</t>
        </is>
      </c>
    </row>
    <row r="103" ht="24" customHeight="1">
      <c r="A103" s="90" t="n">
        <v>94</v>
      </c>
      <c r="C103" s="9" t="inlineStr">
        <is>
          <t>OZEL-094</t>
        </is>
      </c>
      <c r="D103" s="61" t="inlineStr">
        <is>
          <t>3/4", CS, PLUG, ROUND HEAD, ASTM A105, 3000LB, THDM, ASME B16.11, 3000</t>
        </is>
      </c>
      <c r="E103" s="60" t="n"/>
      <c r="F103" s="60" t="n"/>
      <c r="G103" s="91" t="n"/>
      <c r="H103" s="91" t="n"/>
      <c r="I103" s="91" t="n"/>
      <c r="J103" s="91" t="n"/>
      <c r="K103" s="91" t="n"/>
      <c r="L103" s="92">
        <f>IFERROR(AVERAGEIF(G103:K103,"&gt;0"),"-")</f>
        <v/>
      </c>
      <c r="M103" s="93" t="n"/>
      <c r="N103" s="93" t="n"/>
      <c r="O103" s="93" t="n"/>
      <c r="P103" s="93" t="n"/>
      <c r="Q103" s="93" t="n"/>
      <c r="R103" s="92">
        <f>IFERROR(MIN(G103:K103),"-")</f>
        <v/>
      </c>
      <c r="S103" s="9">
        <f>IFERROR(INDEX(M103:Q103,MATCH(MIN(G103:K103),G103:K103,0)),"-")</f>
        <v/>
      </c>
      <c r="T103" t="inlineStr">
        <is>
          <t>FİTTİNG</t>
        </is>
      </c>
    </row>
    <row r="104" ht="24" customHeight="1">
      <c r="A104" s="90" t="n">
        <v>95</v>
      </c>
      <c r="C104" s="9" t="inlineStr">
        <is>
          <t>OZEL-095</t>
        </is>
      </c>
      <c r="D104" s="61" t="inlineStr">
        <is>
          <t>3"x1 1/4", CS, REDUCER (CONC), BW, ASME B16.9, ASTM A234 GR.WPB, 40X80</t>
        </is>
      </c>
      <c r="E104" s="60" t="n"/>
      <c r="F104" s="60" t="n"/>
      <c r="G104" s="91" t="n"/>
      <c r="H104" s="91" t="n"/>
      <c r="I104" s="91" t="n"/>
      <c r="J104" s="91" t="n"/>
      <c r="K104" s="91" t="n"/>
      <c r="L104" s="92">
        <f>IFERROR(AVERAGEIF(G104:K104,"&gt;0"),"-")</f>
        <v/>
      </c>
      <c r="M104" s="93" t="n"/>
      <c r="N104" s="93" t="n"/>
      <c r="O104" s="93" t="n"/>
      <c r="P104" s="93" t="n"/>
      <c r="Q104" s="93" t="n"/>
      <c r="R104" s="92">
        <f>IFERROR(MIN(G104:K104),"-")</f>
        <v/>
      </c>
      <c r="S104" s="9">
        <f>IFERROR(INDEX(M104:Q104,MATCH(MIN(G104:K104),G104:K104,0)),"-")</f>
        <v/>
      </c>
      <c r="T104" t="inlineStr">
        <is>
          <t>FİTTİNG</t>
        </is>
      </c>
    </row>
    <row r="105" ht="24" customHeight="1">
      <c r="A105" s="90" t="n">
        <v>96</v>
      </c>
      <c r="C105" s="9" t="inlineStr">
        <is>
          <t>OZEL-096</t>
        </is>
      </c>
      <c r="D105" s="61" t="inlineStr">
        <is>
          <t>4"x1 1/2", CS, REDUCER (CONC), BW, ASME B16.9, ASTM A234 GR.WPB, 40X80</t>
        </is>
      </c>
      <c r="E105" s="60" t="n"/>
      <c r="F105" s="60" t="n"/>
      <c r="G105" s="91" t="n"/>
      <c r="H105" s="91" t="n"/>
      <c r="I105" s="91" t="n"/>
      <c r="J105" s="91" t="n"/>
      <c r="K105" s="91" t="n"/>
      <c r="L105" s="92">
        <f>IFERROR(AVERAGEIF(G105:K105,"&gt;0"),"-")</f>
        <v/>
      </c>
      <c r="M105" s="93" t="n"/>
      <c r="N105" s="93" t="n"/>
      <c r="O105" s="93" t="n"/>
      <c r="P105" s="93" t="n"/>
      <c r="Q105" s="93" t="n"/>
      <c r="R105" s="92">
        <f>IFERROR(MIN(G105:K105),"-")</f>
        <v/>
      </c>
      <c r="S105" s="9">
        <f>IFERROR(INDEX(M105:Q105,MATCH(MIN(G105:K105),G105:K105,0)),"-")</f>
        <v/>
      </c>
      <c r="T105" t="inlineStr">
        <is>
          <t>FİTTİNG</t>
        </is>
      </c>
    </row>
    <row r="106" ht="24" customHeight="1">
      <c r="A106" s="90" t="n">
        <v>97</v>
      </c>
      <c r="C106" s="9" t="inlineStr">
        <is>
          <t>OZEL-097</t>
        </is>
      </c>
      <c r="D106" s="61" t="inlineStr">
        <is>
          <t>4"x2", CS, REDUCER (CONC), BW, SMLS, ASME B16.9, ASTM A234 GR.WPB, 40X80</t>
        </is>
      </c>
      <c r="E106" s="60" t="n"/>
      <c r="F106" s="60" t="n"/>
      <c r="G106" s="91" t="n"/>
      <c r="H106" s="91" t="n"/>
      <c r="I106" s="91" t="n"/>
      <c r="J106" s="91" t="n"/>
      <c r="K106" s="91" t="n"/>
      <c r="L106" s="92">
        <f>IFERROR(AVERAGEIF(G106:K106,"&gt;0"),"-")</f>
        <v/>
      </c>
      <c r="M106" s="93" t="n"/>
      <c r="N106" s="93" t="n"/>
      <c r="O106" s="93" t="n"/>
      <c r="P106" s="93" t="n"/>
      <c r="Q106" s="93" t="n"/>
      <c r="R106" s="92">
        <f>IFERROR(MIN(G106:K106),"-")</f>
        <v/>
      </c>
      <c r="S106" s="9">
        <f>IFERROR(INDEX(M106:Q106,MATCH(MIN(G106:K106),G106:K106,0)),"-")</f>
        <v/>
      </c>
      <c r="T106" t="inlineStr">
        <is>
          <t>FİTTİNG</t>
        </is>
      </c>
    </row>
    <row r="107" ht="24" customHeight="1">
      <c r="A107" s="90" t="n">
        <v>98</v>
      </c>
      <c r="C107" s="9" t="inlineStr">
        <is>
          <t>OZEL-098</t>
        </is>
      </c>
      <c r="D107" s="61" t="inlineStr">
        <is>
          <t>12"x6", CS, REDUCER (ECC), BW, ASME B16.9, ASTM A234 WPB, 20x40</t>
        </is>
      </c>
      <c r="E107" s="60" t="n"/>
      <c r="F107" s="60" t="n"/>
      <c r="G107" s="91" t="n"/>
      <c r="H107" s="91" t="n"/>
      <c r="I107" s="91" t="n"/>
      <c r="J107" s="91" t="n"/>
      <c r="K107" s="91" t="n"/>
      <c r="L107" s="92">
        <f>IFERROR(AVERAGEIF(G107:K107,"&gt;0"),"-")</f>
        <v/>
      </c>
      <c r="M107" s="93" t="n"/>
      <c r="N107" s="93" t="n"/>
      <c r="O107" s="93" t="n"/>
      <c r="P107" s="93" t="n"/>
      <c r="Q107" s="93" t="n"/>
      <c r="R107" s="92">
        <f>IFERROR(MIN(G107:K107),"-")</f>
        <v/>
      </c>
      <c r="S107" s="9">
        <f>IFERROR(INDEX(M107:Q107,MATCH(MIN(G107:K107),G107:K107,0)),"-")</f>
        <v/>
      </c>
      <c r="T107" t="inlineStr">
        <is>
          <t>FİTTİNG</t>
        </is>
      </c>
    </row>
    <row r="108" ht="24" customHeight="1">
      <c r="A108" s="90" t="n">
        <v>99</v>
      </c>
      <c r="C108" s="9" t="inlineStr">
        <is>
          <t>OZEL-099</t>
        </is>
      </c>
      <c r="D108" s="61" t="inlineStr">
        <is>
          <t>4"x2", CS, REDUCER (ECC), BW, ASME B16.9, ASTM A234 WPB, 40X80</t>
        </is>
      </c>
      <c r="E108" s="60" t="n"/>
      <c r="F108" s="60" t="n"/>
      <c r="G108" s="91" t="n"/>
      <c r="H108" s="91" t="n"/>
      <c r="I108" s="91" t="n"/>
      <c r="J108" s="91" t="n"/>
      <c r="K108" s="91" t="n"/>
      <c r="L108" s="92">
        <f>IFERROR(AVERAGEIF(G108:K108,"&gt;0"),"-")</f>
        <v/>
      </c>
      <c r="M108" s="93" t="n"/>
      <c r="N108" s="93" t="n"/>
      <c r="O108" s="93" t="n"/>
      <c r="P108" s="93" t="n"/>
      <c r="Q108" s="93" t="n"/>
      <c r="R108" s="92">
        <f>IFERROR(MIN(G108:K108),"-")</f>
        <v/>
      </c>
      <c r="S108" s="9">
        <f>IFERROR(INDEX(M108:Q108,MATCH(MIN(G108:K108),G108:K108,0)),"-")</f>
        <v/>
      </c>
      <c r="T108" t="inlineStr">
        <is>
          <t>FİTTİNG</t>
        </is>
      </c>
    </row>
    <row r="109" ht="24" customHeight="1">
      <c r="A109" s="90" t="n">
        <v>100</v>
      </c>
      <c r="C109" s="9" t="inlineStr">
        <is>
          <t>OZEL-100</t>
        </is>
      </c>
      <c r="D109" s="61" t="inlineStr">
        <is>
          <t>6"x2 1/2", CS, REDUCER (ECC), BW, ASME B16.9, ASTM A234 WPB, 40</t>
        </is>
      </c>
      <c r="E109" s="60" t="n"/>
      <c r="F109" s="60" t="n"/>
      <c r="G109" s="91" t="n"/>
      <c r="H109" s="91" t="n"/>
      <c r="I109" s="91" t="n"/>
      <c r="J109" s="91" t="n"/>
      <c r="K109" s="91" t="n"/>
      <c r="L109" s="92">
        <f>IFERROR(AVERAGEIF(G109:K109,"&gt;0"),"-")</f>
        <v/>
      </c>
      <c r="M109" s="93" t="n"/>
      <c r="N109" s="93" t="n"/>
      <c r="O109" s="93" t="n"/>
      <c r="P109" s="93" t="n"/>
      <c r="Q109" s="93" t="n"/>
      <c r="R109" s="92">
        <f>IFERROR(MIN(G109:K109),"-")</f>
        <v/>
      </c>
      <c r="S109" s="9">
        <f>IFERROR(INDEX(M109:Q109,MATCH(MIN(G109:K109),G109:K109,0)),"-")</f>
        <v/>
      </c>
      <c r="T109" t="inlineStr">
        <is>
          <t>FİTTİNG</t>
        </is>
      </c>
    </row>
    <row r="110" ht="24" customHeight="1">
      <c r="A110" s="90" t="n">
        <v>101</v>
      </c>
      <c r="C110" s="9" t="inlineStr">
        <is>
          <t>OZEL-101</t>
        </is>
      </c>
      <c r="D110" s="61" t="inlineStr">
        <is>
          <t>12", CS, TEE, BW, ASME B16.9, ASTM A234 WPB, 20</t>
        </is>
      </c>
      <c r="E110" s="60" t="n"/>
      <c r="F110" s="60" t="n"/>
      <c r="G110" s="91" t="n"/>
      <c r="H110" s="91" t="n"/>
      <c r="I110" s="91" t="n"/>
      <c r="J110" s="91" t="n"/>
      <c r="K110" s="91" t="n"/>
      <c r="L110" s="92">
        <f>IFERROR(AVERAGEIF(G110:K110,"&gt;0"),"-")</f>
        <v/>
      </c>
      <c r="M110" s="93" t="n"/>
      <c r="N110" s="93" t="n"/>
      <c r="O110" s="93" t="n"/>
      <c r="P110" s="93" t="n"/>
      <c r="Q110" s="93" t="n"/>
      <c r="R110" s="92">
        <f>IFERROR(MIN(G110:K110),"-")</f>
        <v/>
      </c>
      <c r="S110" s="9">
        <f>IFERROR(INDEX(M110:Q110,MATCH(MIN(G110:K110),G110:K110,0)),"-")</f>
        <v/>
      </c>
      <c r="T110" t="inlineStr">
        <is>
          <t>FİTTİNG</t>
        </is>
      </c>
    </row>
    <row r="111" ht="24" customHeight="1">
      <c r="A111" s="90" t="n">
        <v>102</v>
      </c>
      <c r="C111" s="9" t="inlineStr">
        <is>
          <t>OZEL-102</t>
        </is>
      </c>
      <c r="D111" s="61" t="inlineStr">
        <is>
          <t>12", CS, TEE, BW, ASME B16.9, ASTM A234 WPB, 40</t>
        </is>
      </c>
      <c r="E111" s="60" t="n"/>
      <c r="F111" s="60" t="n"/>
      <c r="G111" s="91" t="n"/>
      <c r="H111" s="91" t="n"/>
      <c r="I111" s="91" t="n"/>
      <c r="J111" s="91" t="n"/>
      <c r="K111" s="91" t="n"/>
      <c r="L111" s="92">
        <f>IFERROR(AVERAGEIF(G111:K111,"&gt;0"),"-")</f>
        <v/>
      </c>
      <c r="M111" s="93" t="n"/>
      <c r="N111" s="93" t="n"/>
      <c r="O111" s="93" t="n"/>
      <c r="P111" s="93" t="n"/>
      <c r="Q111" s="93" t="n"/>
      <c r="R111" s="92">
        <f>IFERROR(MIN(G111:K111),"-")</f>
        <v/>
      </c>
      <c r="S111" s="9">
        <f>IFERROR(INDEX(M111:Q111,MATCH(MIN(G111:K111),G111:K111,0)),"-")</f>
        <v/>
      </c>
      <c r="T111" t="inlineStr">
        <is>
          <t>FİTTİNG</t>
        </is>
      </c>
    </row>
    <row r="112" ht="24" customHeight="1">
      <c r="A112" s="90" t="n">
        <v>103</v>
      </c>
      <c r="C112" s="9" t="inlineStr">
        <is>
          <t>OZEL-103</t>
        </is>
      </c>
      <c r="D112" s="61" t="inlineStr">
        <is>
          <t>4", CS, TEE, BW, ASME B16.9, ASTM A234 WPB, 40</t>
        </is>
      </c>
      <c r="E112" s="60" t="n"/>
      <c r="F112" s="60" t="n"/>
      <c r="G112" s="91" t="n"/>
      <c r="H112" s="91" t="n"/>
      <c r="I112" s="91" t="n"/>
      <c r="J112" s="91" t="n"/>
      <c r="K112" s="91" t="n"/>
      <c r="L112" s="92">
        <f>IFERROR(AVERAGEIF(G112:K112,"&gt;0"),"-")</f>
        <v/>
      </c>
      <c r="M112" s="93" t="n"/>
      <c r="N112" s="93" t="n"/>
      <c r="O112" s="93" t="n"/>
      <c r="P112" s="93" t="n"/>
      <c r="Q112" s="93" t="n"/>
      <c r="R112" s="92">
        <f>IFERROR(MIN(G112:K112),"-")</f>
        <v/>
      </c>
      <c r="S112" s="9">
        <f>IFERROR(INDEX(M112:Q112,MATCH(MIN(G112:K112),G112:K112,0)),"-")</f>
        <v/>
      </c>
      <c r="T112" t="inlineStr">
        <is>
          <t>FİTTİNG</t>
        </is>
      </c>
    </row>
    <row r="113" ht="24" customHeight="1">
      <c r="A113" s="90" t="n">
        <v>104</v>
      </c>
      <c r="C113" s="9" t="inlineStr">
        <is>
          <t>OZEL-104</t>
        </is>
      </c>
      <c r="D113" s="61" t="inlineStr">
        <is>
          <t>8", CS, TEE, BW, ASME B16.9, ASTM A234 WPB, 20</t>
        </is>
      </c>
      <c r="E113" s="60" t="n"/>
      <c r="F113" s="60" t="n"/>
      <c r="G113" s="91" t="n"/>
      <c r="H113" s="91" t="n"/>
      <c r="I113" s="91" t="n"/>
      <c r="J113" s="91" t="n"/>
      <c r="K113" s="91" t="n"/>
      <c r="L113" s="92">
        <f>IFERROR(AVERAGEIF(G113:K113,"&gt;0"),"-")</f>
        <v/>
      </c>
      <c r="M113" s="93" t="n"/>
      <c r="N113" s="93" t="n"/>
      <c r="O113" s="93" t="n"/>
      <c r="P113" s="93" t="n"/>
      <c r="Q113" s="93" t="n"/>
      <c r="R113" s="92">
        <f>IFERROR(MIN(G113:K113),"-")</f>
        <v/>
      </c>
      <c r="S113" s="9">
        <f>IFERROR(INDEX(M113:Q113,MATCH(MIN(G113:K113),G113:K113,0)),"-")</f>
        <v/>
      </c>
      <c r="T113" t="inlineStr">
        <is>
          <t>FİTTİNG</t>
        </is>
      </c>
    </row>
    <row r="114" ht="24" customHeight="1">
      <c r="A114" s="90" t="n">
        <v>105</v>
      </c>
      <c r="C114" s="9" t="inlineStr">
        <is>
          <t>OZEL-105</t>
        </is>
      </c>
      <c r="D114" s="61" t="inlineStr">
        <is>
          <t>12"x6", CS, TEE (RED), BW, ASME B16.9, ASTM A234 WPB, 40</t>
        </is>
      </c>
      <c r="E114" s="60" t="n"/>
      <c r="F114" s="60" t="n"/>
      <c r="G114" s="91" t="n"/>
      <c r="H114" s="91" t="n"/>
      <c r="I114" s="91" t="n"/>
      <c r="J114" s="91" t="n"/>
      <c r="K114" s="91" t="n"/>
      <c r="L114" s="92">
        <f>IFERROR(AVERAGEIF(G114:K114,"&gt;0"),"-")</f>
        <v/>
      </c>
      <c r="M114" s="93" t="n"/>
      <c r="N114" s="93" t="n"/>
      <c r="O114" s="93" t="n"/>
      <c r="P114" s="93" t="n"/>
      <c r="Q114" s="93" t="n"/>
      <c r="R114" s="92">
        <f>IFERROR(MIN(G114:K114),"-")</f>
        <v/>
      </c>
      <c r="S114" s="9">
        <f>IFERROR(INDEX(M114:Q114,MATCH(MIN(G114:K114),G114:K114,0)),"-")</f>
        <v/>
      </c>
      <c r="T114" t="inlineStr">
        <is>
          <t>FİTTİNG</t>
        </is>
      </c>
    </row>
    <row r="115" ht="24" customHeight="1">
      <c r="A115" s="90" t="n">
        <v>106</v>
      </c>
      <c r="C115" s="9" t="inlineStr">
        <is>
          <t>OZEL-106</t>
        </is>
      </c>
      <c r="D115" s="61" t="inlineStr">
        <is>
          <t>12"x8", CS, TEE (RED), BW, ASME B16.9, ASTM A234 WPB, 20</t>
        </is>
      </c>
      <c r="E115" s="60" t="n"/>
      <c r="F115" s="60" t="n"/>
      <c r="G115" s="91" t="n"/>
      <c r="H115" s="91" t="n"/>
      <c r="I115" s="91" t="n"/>
      <c r="J115" s="91" t="n"/>
      <c r="K115" s="91" t="n"/>
      <c r="L115" s="92">
        <f>IFERROR(AVERAGEIF(G115:K115,"&gt;0"),"-")</f>
        <v/>
      </c>
      <c r="M115" s="93" t="n"/>
      <c r="N115" s="93" t="n"/>
      <c r="O115" s="93" t="n"/>
      <c r="P115" s="93" t="n"/>
      <c r="Q115" s="93" t="n"/>
      <c r="R115" s="92">
        <f>IFERROR(MIN(G115:K115),"-")</f>
        <v/>
      </c>
      <c r="S115" s="9">
        <f>IFERROR(INDEX(M115:Q115,MATCH(MIN(G115:K115),G115:K115,0)),"-")</f>
        <v/>
      </c>
      <c r="T115" t="inlineStr">
        <is>
          <t>FİTTİNG</t>
        </is>
      </c>
    </row>
    <row r="116" ht="24" customHeight="1">
      <c r="A116" s="90" t="n">
        <v>107</v>
      </c>
      <c r="C116" s="9" t="inlineStr">
        <is>
          <t>OZEL-107</t>
        </is>
      </c>
      <c r="D116" s="61" t="inlineStr">
        <is>
          <t>12"x8", CS, TEE (RED), BW, ASME B16.9, ASTM A234 WPB, 40</t>
        </is>
      </c>
      <c r="E116" s="60" t="n"/>
      <c r="F116" s="60" t="n"/>
      <c r="G116" s="91" t="n"/>
      <c r="H116" s="91" t="n"/>
      <c r="I116" s="91" t="n"/>
      <c r="J116" s="91" t="n"/>
      <c r="K116" s="91" t="n"/>
      <c r="L116" s="92">
        <f>IFERROR(AVERAGEIF(G116:K116,"&gt;0"),"-")</f>
        <v/>
      </c>
      <c r="M116" s="93" t="n"/>
      <c r="N116" s="93" t="n"/>
      <c r="O116" s="93" t="n"/>
      <c r="P116" s="93" t="n"/>
      <c r="Q116" s="93" t="n"/>
      <c r="R116" s="92">
        <f>IFERROR(MIN(G116:K116),"-")</f>
        <v/>
      </c>
      <c r="S116" s="9">
        <f>IFERROR(INDEX(M116:Q116,MATCH(MIN(G116:K116),G116:K116,0)),"-")</f>
        <v/>
      </c>
      <c r="T116" t="inlineStr">
        <is>
          <t>FİTTİNG</t>
        </is>
      </c>
    </row>
    <row r="117" ht="24" customHeight="1">
      <c r="A117" s="90" t="n">
        <v>108</v>
      </c>
      <c r="C117" s="9" t="inlineStr">
        <is>
          <t>OZEL-108</t>
        </is>
      </c>
      <c r="D117" s="61" t="inlineStr">
        <is>
          <t>8"x3", CS, TEE (RED), BW, ASME B16.9, ASTM A234 WPB, 20x40</t>
        </is>
      </c>
      <c r="E117" s="60" t="n"/>
      <c r="F117" s="60" t="n"/>
      <c r="G117" s="91" t="n"/>
      <c r="H117" s="91" t="n"/>
      <c r="I117" s="91" t="n"/>
      <c r="J117" s="91" t="n"/>
      <c r="K117" s="91" t="n"/>
      <c r="L117" s="92">
        <f>IFERROR(AVERAGEIF(G117:K117,"&gt;0"),"-")</f>
        <v/>
      </c>
      <c r="M117" s="93" t="n"/>
      <c r="N117" s="93" t="n"/>
      <c r="O117" s="93" t="n"/>
      <c r="P117" s="93" t="n"/>
      <c r="Q117" s="93" t="n"/>
      <c r="R117" s="92">
        <f>IFERROR(MIN(G117:K117),"-")</f>
        <v/>
      </c>
      <c r="S117" s="9">
        <f>IFERROR(INDEX(M117:Q117,MATCH(MIN(G117:K117),G117:K117,0)),"-")</f>
        <v/>
      </c>
      <c r="T117" t="inlineStr">
        <is>
          <t>FİTTİNG</t>
        </is>
      </c>
    </row>
    <row r="118" ht="24" customHeight="1">
      <c r="A118" s="90" t="n">
        <v>109</v>
      </c>
      <c r="C118" s="9" t="inlineStr">
        <is>
          <t>OZEL-109</t>
        </is>
      </c>
      <c r="D118" s="61" t="inlineStr">
        <is>
          <t>8"x4", CS, TEE (RED), BW, SEAMLESS, ASME B16.9, ASTM A234 GR.WPB, 40</t>
        </is>
      </c>
      <c r="E118" s="60" t="n"/>
      <c r="F118" s="60" t="n"/>
      <c r="G118" s="91" t="n"/>
      <c r="H118" s="91" t="n"/>
      <c r="I118" s="91" t="n"/>
      <c r="J118" s="91" t="n"/>
      <c r="K118" s="91" t="n"/>
      <c r="L118" s="92">
        <f>IFERROR(AVERAGEIF(G118:K118,"&gt;0"),"-")</f>
        <v/>
      </c>
      <c r="M118" s="93" t="n"/>
      <c r="N118" s="93" t="n"/>
      <c r="O118" s="93" t="n"/>
      <c r="P118" s="93" t="n"/>
      <c r="Q118" s="93" t="n"/>
      <c r="R118" s="92">
        <f>IFERROR(MIN(G118:K118),"-")</f>
        <v/>
      </c>
      <c r="S118" s="9">
        <f>IFERROR(INDEX(M118:Q118,MATCH(MIN(G118:K118),G118:K118,0)),"-")</f>
        <v/>
      </c>
      <c r="T118" t="inlineStr">
        <is>
          <t>FİTTİNG</t>
        </is>
      </c>
    </row>
    <row r="119" ht="24" customHeight="1">
      <c r="A119" s="90" t="n">
        <v>110</v>
      </c>
      <c r="C119" s="9" t="inlineStr">
        <is>
          <t>OZEL-110</t>
        </is>
      </c>
      <c r="D119" s="61" t="inlineStr">
        <is>
          <t>1 1/4", CS, PIPE, ASTM A 106 GR.B OR ASTM A53 GR.B, ASME B36.10, SEAMLESS PLAIN ENDS, 80</t>
        </is>
      </c>
      <c r="E119" s="60" t="n"/>
      <c r="F119" s="60" t="n"/>
      <c r="G119" s="91" t="n"/>
      <c r="H119" s="91" t="n"/>
      <c r="I119" s="91" t="n"/>
      <c r="J119" s="91" t="n"/>
      <c r="K119" s="91" t="n"/>
      <c r="L119" s="92">
        <f>IFERROR(AVERAGEIF(G119:K119,"&gt;0"),"-")</f>
        <v/>
      </c>
      <c r="M119" s="93" t="n"/>
      <c r="N119" s="93" t="n"/>
      <c r="O119" s="93" t="n"/>
      <c r="P119" s="93" t="n"/>
      <c r="Q119" s="93" t="n"/>
      <c r="R119" s="92">
        <f>IFERROR(MIN(G119:K119),"-")</f>
        <v/>
      </c>
      <c r="S119" s="9">
        <f>IFERROR(INDEX(M119:Q119,MATCH(MIN(G119:K119),G119:K119,0)),"-")</f>
        <v/>
      </c>
      <c r="T119" t="inlineStr">
        <is>
          <t>BORU</t>
        </is>
      </c>
    </row>
    <row r="120" ht="24" customHeight="1">
      <c r="A120" s="90" t="n">
        <v>111</v>
      </c>
      <c r="C120" s="9" t="inlineStr">
        <is>
          <t>OZEL-111</t>
        </is>
      </c>
      <c r="D120" s="61" t="inlineStr">
        <is>
          <t>2", CS, PIPE, ASTM A 106 GR.B OR ASTM A53 GR.B, ASME B36.10, SEAMLESS PLAIN ENDS, 80</t>
        </is>
      </c>
      <c r="E120" s="60" t="n"/>
      <c r="F120" s="60" t="n"/>
      <c r="G120" s="91" t="n"/>
      <c r="H120" s="91" t="n"/>
      <c r="I120" s="91" t="n"/>
      <c r="J120" s="91" t="n"/>
      <c r="K120" s="91" t="n"/>
      <c r="L120" s="92">
        <f>IFERROR(AVERAGEIF(G120:K120,"&gt;0"),"-")</f>
        <v/>
      </c>
      <c r="M120" s="93" t="n"/>
      <c r="N120" s="93" t="n"/>
      <c r="O120" s="93" t="n"/>
      <c r="P120" s="93" t="n"/>
      <c r="Q120" s="93" t="n"/>
      <c r="R120" s="92">
        <f>IFERROR(MIN(G120:K120),"-")</f>
        <v/>
      </c>
      <c r="S120" s="9">
        <f>IFERROR(INDEX(M120:Q120,MATCH(MIN(G120:K120),G120:K120,0)),"-")</f>
        <v/>
      </c>
      <c r="T120" t="inlineStr">
        <is>
          <t>BORU</t>
        </is>
      </c>
    </row>
    <row r="121" ht="24" customHeight="1">
      <c r="A121" s="90" t="n">
        <v>112</v>
      </c>
      <c r="C121" s="9" t="inlineStr">
        <is>
          <t>OZEL-112</t>
        </is>
      </c>
      <c r="D121" s="61" t="inlineStr">
        <is>
          <t>3/4", CS, PIPE, ASTM A 106 GR.B OR ASTM A53 GR.B, ASME B36.10, SEAMLESS PLAIN ENDS, 80</t>
        </is>
      </c>
      <c r="E121" s="60" t="n"/>
      <c r="F121" s="60" t="n"/>
      <c r="G121" s="91" t="n"/>
      <c r="H121" s="91" t="n"/>
      <c r="I121" s="91" t="n"/>
      <c r="J121" s="91" t="n"/>
      <c r="K121" s="91" t="n"/>
      <c r="L121" s="92">
        <f>IFERROR(AVERAGEIF(G121:K121,"&gt;0"),"-")</f>
        <v/>
      </c>
      <c r="M121" s="93" t="n"/>
      <c r="N121" s="93" t="n"/>
      <c r="O121" s="93" t="n"/>
      <c r="P121" s="93" t="n"/>
      <c r="Q121" s="93" t="n"/>
      <c r="R121" s="92">
        <f>IFERROR(MIN(G121:K121),"-")</f>
        <v/>
      </c>
      <c r="S121" s="9">
        <f>IFERROR(INDEX(M121:Q121,MATCH(MIN(G121:K121),G121:K121,0)),"-")</f>
        <v/>
      </c>
      <c r="T121" t="inlineStr">
        <is>
          <t>BORU</t>
        </is>
      </c>
    </row>
    <row r="122" ht="24" customHeight="1">
      <c r="A122" s="90" t="n">
        <v>113</v>
      </c>
      <c r="C122" s="9" t="inlineStr">
        <is>
          <t>OZEL-113</t>
        </is>
      </c>
      <c r="D122" s="61" t="inlineStr">
        <is>
          <t>3", CS, PIPE, ASTM A 106 GR.B OR ASTM A53 GR.B , ASME B36.10, SAW-SAWL, BEVELED ENDS, 40</t>
        </is>
      </c>
      <c r="E122" s="60" t="n"/>
      <c r="F122" s="60" t="n"/>
      <c r="G122" s="91" t="n"/>
      <c r="H122" s="91" t="n"/>
      <c r="I122" s="91" t="n"/>
      <c r="J122" s="91" t="n"/>
      <c r="K122" s="91" t="n"/>
      <c r="L122" s="92">
        <f>IFERROR(AVERAGEIF(G122:K122,"&gt;0"),"-")</f>
        <v/>
      </c>
      <c r="M122" s="93" t="n"/>
      <c r="N122" s="93" t="n"/>
      <c r="O122" s="93" t="n"/>
      <c r="P122" s="93" t="n"/>
      <c r="Q122" s="93" t="n"/>
      <c r="R122" s="92">
        <f>IFERROR(MIN(G122:K122),"-")</f>
        <v/>
      </c>
      <c r="S122" s="9">
        <f>IFERROR(INDEX(M122:Q122,MATCH(MIN(G122:K122),G122:K122,0)),"-")</f>
        <v/>
      </c>
      <c r="T122" t="inlineStr">
        <is>
          <t>BORU</t>
        </is>
      </c>
    </row>
    <row r="123" ht="24" customHeight="1">
      <c r="A123" s="90" t="n">
        <v>114</v>
      </c>
      <c r="C123" s="9" t="inlineStr">
        <is>
          <t>OZEL-114</t>
        </is>
      </c>
      <c r="D123" s="61" t="inlineStr">
        <is>
          <t>4", CS, PIPE, ASTM A 106 GR.B OR ASTM A53 GR.B , ASME B36.10, SAW-SAWL, BEVELED ENDS, 40</t>
        </is>
      </c>
      <c r="E123" s="60" t="n"/>
      <c r="F123" s="60" t="n"/>
      <c r="G123" s="91" t="n"/>
      <c r="H123" s="91" t="n"/>
      <c r="I123" s="91" t="n"/>
      <c r="J123" s="91" t="n"/>
      <c r="K123" s="91" t="n"/>
      <c r="L123" s="92">
        <f>IFERROR(AVERAGEIF(G123:K123,"&gt;0"),"-")</f>
        <v/>
      </c>
      <c r="M123" s="93" t="n"/>
      <c r="N123" s="93" t="n"/>
      <c r="O123" s="93" t="n"/>
      <c r="P123" s="93" t="n"/>
      <c r="Q123" s="93" t="n"/>
      <c r="R123" s="92">
        <f>IFERROR(MIN(G123:K123),"-")</f>
        <v/>
      </c>
      <c r="S123" s="9">
        <f>IFERROR(INDEX(M123:Q123,MATCH(MIN(G123:K123),G123:K123,0)),"-")</f>
        <v/>
      </c>
      <c r="T123" t="inlineStr">
        <is>
          <t>BORU</t>
        </is>
      </c>
    </row>
    <row r="124" ht="24" customHeight="1">
      <c r="A124" s="90" t="n">
        <v>115</v>
      </c>
      <c r="C124" s="9" t="inlineStr">
        <is>
          <t>OZEL-115</t>
        </is>
      </c>
      <c r="D124" s="19" t="inlineStr">
        <is>
          <t>6", CS, PIPE, ASTM A 106 GR.B OR ASTM A53 GR.B , ASME B36.10, SAW-SAWL, BEVELED ENDS, 40</t>
        </is>
      </c>
      <c r="E124" s="60" t="n"/>
      <c r="F124" s="60" t="n"/>
      <c r="G124" s="91" t="n"/>
      <c r="H124" s="91" t="n"/>
      <c r="I124" s="91" t="n"/>
      <c r="J124" s="91" t="n"/>
      <c r="K124" s="91" t="n"/>
      <c r="L124" s="92">
        <f>IFERROR(AVERAGEIF(G124:K124,"&gt;0"),"-")</f>
        <v/>
      </c>
      <c r="M124" s="93" t="n"/>
      <c r="N124" s="93" t="n"/>
      <c r="O124" s="93" t="n"/>
      <c r="P124" s="93" t="n"/>
      <c r="Q124" s="93" t="n"/>
      <c r="R124" s="92">
        <f>IFERROR(MIN(G124:K124),"-")</f>
        <v/>
      </c>
      <c r="S124" s="9">
        <f>IFERROR(INDEX(M124:Q124,MATCH(MIN(G124:K124),G124:K124,0)),"-")</f>
        <v/>
      </c>
      <c r="T124" t="inlineStr">
        <is>
          <t>BORU</t>
        </is>
      </c>
    </row>
    <row r="125" ht="24" customHeight="1">
      <c r="A125" s="90" t="n">
        <v>116</v>
      </c>
      <c r="C125" s="9" t="inlineStr">
        <is>
          <t>OZEL-116</t>
        </is>
      </c>
      <c r="D125" s="61" t="inlineStr">
        <is>
          <t>6"x2 1/2", CS, REDUCER (ECC), BW, ASME B16.9, ASTM A234 WPB, 40X80</t>
        </is>
      </c>
      <c r="E125" s="60" t="n"/>
      <c r="F125" s="60" t="n"/>
      <c r="G125" s="91" t="n"/>
      <c r="H125" s="91" t="n"/>
      <c r="I125" s="91" t="n"/>
      <c r="J125" s="91" t="n"/>
      <c r="K125" s="91" t="n"/>
      <c r="L125" s="92">
        <f>IFERROR(AVERAGEIF(G125:K125,"&gt;0"),"-")</f>
        <v/>
      </c>
      <c r="M125" s="93" t="n"/>
      <c r="N125" s="93" t="n"/>
      <c r="O125" s="93" t="n"/>
      <c r="P125" s="93" t="n"/>
      <c r="Q125" s="93" t="n"/>
      <c r="R125" s="92">
        <f>IFERROR(MIN(G125:K125),"-")</f>
        <v/>
      </c>
      <c r="S125" s="9">
        <f>IFERROR(INDEX(M125:Q125,MATCH(MIN(G125:K125),G125:K125,0)),"-")</f>
        <v/>
      </c>
      <c r="T125" t="inlineStr">
        <is>
          <t>FİTTİNG</t>
        </is>
      </c>
    </row>
    <row r="126" ht="24" customHeight="1">
      <c r="A126" s="90" t="n">
        <v>117</v>
      </c>
      <c r="C126" s="9" t="inlineStr">
        <is>
          <t>OZEL-117</t>
        </is>
      </c>
      <c r="D126" s="61" t="inlineStr">
        <is>
          <t>M16X100, CS, STUD BOLT, WITH 2 HEAVY HEXAGONAL NUTS, ASTM A193 GR.B7 / A194 GR.2H, ASME B18.2.1 / B18.2.2</t>
        </is>
      </c>
      <c r="E126" s="60" t="n"/>
      <c r="F126" s="60" t="n"/>
      <c r="G126" s="91" t="n"/>
      <c r="H126" s="91" t="n"/>
      <c r="I126" s="91" t="n"/>
      <c r="J126" s="91" t="n"/>
      <c r="K126" s="91" t="n"/>
      <c r="L126" s="92">
        <f>IFERROR(AVERAGEIF(G126:K126,"&gt;0"),"-")</f>
        <v/>
      </c>
      <c r="M126" s="93" t="n"/>
      <c r="N126" s="93" t="n"/>
      <c r="O126" s="93" t="n"/>
      <c r="P126" s="93" t="n"/>
      <c r="Q126" s="93" t="n"/>
      <c r="R126" s="92">
        <f>IFERROR(MIN(G126:K126),"-")</f>
        <v/>
      </c>
      <c r="S126" s="9">
        <f>IFERROR(INDEX(M126:Q126,MATCH(MIN(G126:K126),G126:K126,0)),"-")</f>
        <v/>
      </c>
      <c r="T126" t="inlineStr">
        <is>
          <t>GASKET&amp;BOLT</t>
        </is>
      </c>
    </row>
    <row r="127" ht="24" customHeight="1">
      <c r="A127" s="90" t="n">
        <v>118</v>
      </c>
      <c r="C127" s="9" t="inlineStr">
        <is>
          <t>OZEL-118</t>
        </is>
      </c>
      <c r="D127" s="61" t="inlineStr">
        <is>
          <t>M16X100, CS, BOLT SET, STUD BOLT, 25CRMO4, STUD BOLT FULL THRD SCREW WITH 2 NUT &amp; WASHER, EN10269, EN ISO 4014 &amp; 4032.</t>
        </is>
      </c>
      <c r="E127" s="60" t="n"/>
      <c r="F127" s="60" t="n"/>
      <c r="G127" s="91" t="n"/>
      <c r="H127" s="91" t="n"/>
      <c r="I127" s="91" t="n"/>
      <c r="J127" s="91" t="n"/>
      <c r="K127" s="91" t="n"/>
      <c r="L127" s="92">
        <f>IFERROR(AVERAGEIF(G127:K127,"&gt;0"),"-")</f>
        <v/>
      </c>
      <c r="M127" s="93" t="n"/>
      <c r="N127" s="93" t="n"/>
      <c r="O127" s="93" t="n"/>
      <c r="P127" s="93" t="n"/>
      <c r="Q127" s="93" t="n"/>
      <c r="R127" s="92">
        <f>IFERROR(MIN(G127:K127),"-")</f>
        <v/>
      </c>
      <c r="S127" s="9">
        <f>IFERROR(INDEX(M127:Q127,MATCH(MIN(G127:K127),G127:K127,0)),"-")</f>
        <v/>
      </c>
      <c r="T127" t="inlineStr">
        <is>
          <t>GASKET&amp;BOLT</t>
        </is>
      </c>
    </row>
    <row r="128" ht="24" customHeight="1">
      <c r="A128" s="90" t="n">
        <v>119</v>
      </c>
      <c r="C128" s="9" t="inlineStr">
        <is>
          <t>OZEL-119</t>
        </is>
      </c>
      <c r="D128" s="61" t="inlineStr">
        <is>
          <t>M20X110, CS, STUD BOLT, WITH 2 HEAVY HEXAGONAL NUTS, ASTM A193 GR.B7 / A194 GR.2H, ASME B18.2.1 / B18.2.2</t>
        </is>
      </c>
      <c r="E128" s="60" t="n"/>
      <c r="F128" s="60" t="n"/>
      <c r="G128" s="91" t="n"/>
      <c r="H128" s="91" t="n"/>
      <c r="I128" s="91" t="n"/>
      <c r="J128" s="91" t="n"/>
      <c r="K128" s="91" t="n"/>
      <c r="L128" s="92">
        <f>IFERROR(AVERAGEIF(G128:K128,"&gt;0"),"-")</f>
        <v/>
      </c>
      <c r="M128" s="93" t="n"/>
      <c r="N128" s="93" t="n"/>
      <c r="O128" s="93" t="n"/>
      <c r="P128" s="93" t="n"/>
      <c r="Q128" s="93" t="n"/>
      <c r="R128" s="92">
        <f>IFERROR(MIN(G128:K128),"-")</f>
        <v/>
      </c>
      <c r="S128" s="9">
        <f>IFERROR(INDEX(M128:Q128,MATCH(MIN(G128:K128),G128:K128,0)),"-")</f>
        <v/>
      </c>
      <c r="T128" t="inlineStr">
        <is>
          <t>GASKET&amp;BOLT</t>
        </is>
      </c>
    </row>
    <row r="129" ht="24" customHeight="1">
      <c r="A129" s="90" t="n">
        <v>120</v>
      </c>
      <c r="C129" s="9" t="inlineStr">
        <is>
          <t>OZEL-120</t>
        </is>
      </c>
      <c r="D129" s="61" t="inlineStr">
        <is>
          <t>M20X120, CS, BOLT SET, STUD BOLT, 25CRMO4, STUD BOLT FULL THRD SCREW WITH 2 NUT &amp; WASHER, EN10269, EN ISO 4014 &amp; 4032.</t>
        </is>
      </c>
      <c r="E129" s="60" t="n"/>
      <c r="F129" s="60" t="n"/>
      <c r="G129" s="91" t="n"/>
      <c r="H129" s="91" t="n"/>
      <c r="I129" s="91" t="n"/>
      <c r="J129" s="91" t="n"/>
      <c r="K129" s="91" t="n"/>
      <c r="L129" s="92">
        <f>IFERROR(AVERAGEIF(G129:K129,"&gt;0"),"-")</f>
        <v/>
      </c>
      <c r="M129" s="93" t="n"/>
      <c r="N129" s="93" t="n"/>
      <c r="O129" s="93" t="n"/>
      <c r="P129" s="93" t="n"/>
      <c r="Q129" s="93" t="n"/>
      <c r="R129" s="92">
        <f>IFERROR(MIN(G129:K129),"-")</f>
        <v/>
      </c>
      <c r="S129" s="9">
        <f>IFERROR(INDEX(M129:Q129,MATCH(MIN(G129:K129),G129:K129,0)),"-")</f>
        <v/>
      </c>
      <c r="T129" t="inlineStr">
        <is>
          <t>GASKET&amp;BOLT</t>
        </is>
      </c>
    </row>
    <row r="130" ht="24" customHeight="1">
      <c r="A130" s="90" t="n">
        <v>121</v>
      </c>
      <c r="C130" s="9" t="inlineStr">
        <is>
          <t>OZEL-121</t>
        </is>
      </c>
      <c r="D130" s="61" t="inlineStr">
        <is>
          <t>8", CS, ELBOW 45, BW, ASME B16.9, ASTM A234 WPB, SCH40</t>
        </is>
      </c>
      <c r="E130" s="60" t="n"/>
      <c r="F130" s="60" t="n"/>
      <c r="G130" s="91" t="n"/>
      <c r="H130" s="91" t="n"/>
      <c r="I130" s="91" t="n"/>
      <c r="J130" s="91" t="n"/>
      <c r="K130" s="91" t="n"/>
      <c r="L130" s="92">
        <f>IFERROR(AVERAGEIF(G130:K130,"&gt;0"),"-")</f>
        <v/>
      </c>
      <c r="M130" s="93" t="n"/>
      <c r="N130" s="93" t="n"/>
      <c r="O130" s="93" t="n"/>
      <c r="P130" s="93" t="n"/>
      <c r="Q130" s="93" t="n"/>
      <c r="R130" s="92">
        <f>IFERROR(MIN(G130:K130),"-")</f>
        <v/>
      </c>
      <c r="S130" s="9">
        <f>IFERROR(INDEX(M130:Q130,MATCH(MIN(G130:K130),G130:K130,0)),"-")</f>
        <v/>
      </c>
      <c r="T130" t="inlineStr">
        <is>
          <t>FİTTİNG</t>
        </is>
      </c>
    </row>
    <row r="131" ht="24" customHeight="1">
      <c r="A131" s="90" t="n">
        <v>122</v>
      </c>
      <c r="C131" s="9" t="inlineStr">
        <is>
          <t>OZEL-122</t>
        </is>
      </c>
      <c r="D131" s="61" t="inlineStr">
        <is>
          <t>3", CS, ELBOW 90, BW, ASME B16.9, ASTM A234 WPB, SCH20</t>
        </is>
      </c>
      <c r="E131" s="60" t="n"/>
      <c r="F131" s="60" t="n"/>
      <c r="G131" s="91" t="n"/>
      <c r="H131" s="91" t="n"/>
      <c r="I131" s="91" t="n"/>
      <c r="J131" s="91" t="n"/>
      <c r="K131" s="91" t="n"/>
      <c r="L131" s="92">
        <f>IFERROR(AVERAGEIF(G131:K131,"&gt;0"),"-")</f>
        <v/>
      </c>
      <c r="M131" s="93" t="n"/>
      <c r="N131" s="93" t="n"/>
      <c r="O131" s="93" t="n"/>
      <c r="P131" s="93" t="n"/>
      <c r="Q131" s="93" t="n"/>
      <c r="R131" s="92">
        <f>IFERROR(MIN(G131:K131),"-")</f>
        <v/>
      </c>
      <c r="S131" s="9">
        <f>IFERROR(INDEX(M131:Q131,MATCH(MIN(G131:K131),G131:K131,0)),"-")</f>
        <v/>
      </c>
      <c r="T131" t="inlineStr">
        <is>
          <t>FİTTİNG</t>
        </is>
      </c>
    </row>
    <row r="132" ht="24" customHeight="1">
      <c r="A132" s="90" t="n">
        <v>123</v>
      </c>
      <c r="C132" s="9" t="inlineStr">
        <is>
          <t>OZEL-123</t>
        </is>
      </c>
      <c r="D132" s="61" t="inlineStr">
        <is>
          <t>8", CS, ELBOW 90, BW, ASME B16.9, ASTM A234 WPB, SCH20</t>
        </is>
      </c>
      <c r="E132" s="60" t="n"/>
      <c r="F132" s="60" t="n"/>
      <c r="G132" s="91" t="n"/>
      <c r="H132" s="91" t="n"/>
      <c r="I132" s="91" t="n"/>
      <c r="J132" s="91" t="n"/>
      <c r="K132" s="91" t="n"/>
      <c r="L132" s="92">
        <f>IFERROR(AVERAGEIF(G132:K132,"&gt;0"),"-")</f>
        <v/>
      </c>
      <c r="M132" s="93" t="n"/>
      <c r="N132" s="93" t="n"/>
      <c r="O132" s="93" t="n"/>
      <c r="P132" s="93" t="n"/>
      <c r="Q132" s="93" t="n"/>
      <c r="R132" s="92">
        <f>IFERROR(MIN(G132:K132),"-")</f>
        <v/>
      </c>
      <c r="S132" s="9">
        <f>IFERROR(INDEX(M132:Q132,MATCH(MIN(G132:K132),G132:K132,0)),"-")</f>
        <v/>
      </c>
      <c r="T132" t="inlineStr">
        <is>
          <t>FİTTİNG</t>
        </is>
      </c>
    </row>
    <row r="133" ht="24" customHeight="1">
      <c r="A133" s="90" t="n">
        <v>124</v>
      </c>
      <c r="C133" s="9" t="inlineStr">
        <is>
          <t>OZEL-124</t>
        </is>
      </c>
      <c r="D133" s="61" t="inlineStr">
        <is>
          <t>3", CS, FLANGE BLIND, 150 LB, RF, ASME B16.5, ASTM A234 GR WPB</t>
        </is>
      </c>
      <c r="E133" s="60" t="n"/>
      <c r="F133" s="60" t="n"/>
      <c r="G133" s="91" t="n"/>
      <c r="H133" s="91" t="n"/>
      <c r="I133" s="91" t="n"/>
      <c r="J133" s="91" t="n"/>
      <c r="K133" s="91" t="n"/>
      <c r="L133" s="92">
        <f>IFERROR(AVERAGEIF(G133:K133,"&gt;0"),"-")</f>
        <v/>
      </c>
      <c r="M133" s="93" t="n"/>
      <c r="N133" s="93" t="n"/>
      <c r="O133" s="93" t="n"/>
      <c r="P133" s="93" t="n"/>
      <c r="Q133" s="93" t="n"/>
      <c r="R133" s="92">
        <f>IFERROR(MIN(G133:K133),"-")</f>
        <v/>
      </c>
      <c r="S133" s="9">
        <f>IFERROR(INDEX(M133:Q133,MATCH(MIN(G133:K133),G133:K133,0)),"-")</f>
        <v/>
      </c>
      <c r="T133" t="inlineStr">
        <is>
          <t>FLANS</t>
        </is>
      </c>
    </row>
    <row r="134" ht="24" customHeight="1">
      <c r="A134" s="90" t="n">
        <v>125</v>
      </c>
      <c r="C134" s="9" t="inlineStr">
        <is>
          <t>OZEL-125</t>
        </is>
      </c>
      <c r="D134" s="61" t="inlineStr">
        <is>
          <t>8", CS, FLANGE BLIND, 150 LB, RF, ASME B16.5, ASTM A234 GR WPB</t>
        </is>
      </c>
      <c r="E134" s="60" t="n"/>
      <c r="F134" s="60" t="n"/>
      <c r="G134" s="91" t="n"/>
      <c r="H134" s="91" t="n"/>
      <c r="I134" s="91" t="n"/>
      <c r="J134" s="91" t="n"/>
      <c r="K134" s="91" t="n"/>
      <c r="L134" s="92">
        <f>IFERROR(AVERAGEIF(G134:K134,"&gt;0"),"-")</f>
        <v/>
      </c>
      <c r="M134" s="93" t="n"/>
      <c r="N134" s="93" t="n"/>
      <c r="O134" s="93" t="n"/>
      <c r="P134" s="93" t="n"/>
      <c r="Q134" s="93" t="n"/>
      <c r="R134" s="92">
        <f>IFERROR(MIN(G134:K134),"-")</f>
        <v/>
      </c>
      <c r="S134" s="9">
        <f>IFERROR(INDEX(M134:Q134,MATCH(MIN(G134:K134),G134:K134,0)),"-")</f>
        <v/>
      </c>
      <c r="T134" t="inlineStr">
        <is>
          <t>FLANS</t>
        </is>
      </c>
    </row>
    <row r="135" ht="24" customHeight="1">
      <c r="A135" s="90" t="n">
        <v>126</v>
      </c>
      <c r="C135" s="9" t="inlineStr">
        <is>
          <t>OZEL-126</t>
        </is>
      </c>
      <c r="D135" s="61" t="inlineStr">
        <is>
          <t>3", CS, FLANGE, WELDING NECK, ASME B16.5, 150LB SCH40, RF, ASTM A 105, ASME B16.5</t>
        </is>
      </c>
      <c r="E135" s="60" t="n"/>
      <c r="F135" s="60" t="n"/>
      <c r="G135" s="91" t="n"/>
      <c r="H135" s="91" t="n"/>
      <c r="I135" s="91" t="n"/>
      <c r="J135" s="91" t="n"/>
      <c r="K135" s="91" t="n"/>
      <c r="L135" s="92">
        <f>IFERROR(AVERAGEIF(G135:K135,"&gt;0"),"-")</f>
        <v/>
      </c>
      <c r="M135" s="93" t="n"/>
      <c r="N135" s="93" t="n"/>
      <c r="O135" s="93" t="n"/>
      <c r="P135" s="93" t="n"/>
      <c r="Q135" s="93" t="n"/>
      <c r="R135" s="92">
        <f>IFERROR(MIN(G135:K135),"-")</f>
        <v/>
      </c>
      <c r="S135" s="9">
        <f>IFERROR(INDEX(M135:Q135,MATCH(MIN(G135:K135),G135:K135,0)),"-")</f>
        <v/>
      </c>
      <c r="T135" t="inlineStr">
        <is>
          <t>FLANS</t>
        </is>
      </c>
    </row>
    <row r="136" ht="24" customHeight="1">
      <c r="A136" s="90" t="n">
        <v>127</v>
      </c>
      <c r="C136" s="9" t="inlineStr">
        <is>
          <t>OZEL-127</t>
        </is>
      </c>
      <c r="D136" s="61" t="inlineStr">
        <is>
          <t>4", CS, FLANGE, WELDNECK, P245GH, FF, EN 1092-1, EN 10222-2, PN16</t>
        </is>
      </c>
      <c r="E136" s="60" t="n"/>
      <c r="F136" s="60" t="n"/>
      <c r="G136" s="91" t="n"/>
      <c r="H136" s="91" t="n"/>
      <c r="I136" s="91" t="n"/>
      <c r="J136" s="91" t="n"/>
      <c r="K136" s="91" t="n"/>
      <c r="L136" s="92">
        <f>IFERROR(AVERAGEIF(G136:K136,"&gt;0"),"-")</f>
        <v/>
      </c>
      <c r="M136" s="93" t="n"/>
      <c r="N136" s="93" t="n"/>
      <c r="O136" s="93" t="n"/>
      <c r="P136" s="93" t="n"/>
      <c r="Q136" s="93" t="n"/>
      <c r="R136" s="92">
        <f>IFERROR(MIN(G136:K136),"-")</f>
        <v/>
      </c>
      <c r="S136" s="9">
        <f>IFERROR(INDEX(M136:Q136,MATCH(MIN(G136:K136),G136:K136,0)),"-")</f>
        <v/>
      </c>
      <c r="T136" t="inlineStr">
        <is>
          <t>FLANS</t>
        </is>
      </c>
    </row>
    <row r="137" ht="24" customHeight="1">
      <c r="A137" s="90" t="n">
        <v>128</v>
      </c>
      <c r="C137" s="9" t="inlineStr">
        <is>
          <t>OZEL-128</t>
        </is>
      </c>
      <c r="D137" s="61" t="inlineStr">
        <is>
          <t>8", CS, FLANGE, WELDING NECK, ASME B16.5, 150LB SCH20, RF, ASTM A 105, ASME B16.5</t>
        </is>
      </c>
      <c r="E137" s="60" t="n"/>
      <c r="F137" s="60" t="n"/>
      <c r="G137" s="91" t="n"/>
      <c r="H137" s="91" t="n"/>
      <c r="I137" s="91" t="n"/>
      <c r="J137" s="91" t="n"/>
      <c r="K137" s="91" t="n"/>
      <c r="L137" s="92">
        <f>IFERROR(AVERAGEIF(G137:K137,"&gt;0"),"-")</f>
        <v/>
      </c>
      <c r="M137" s="93" t="n"/>
      <c r="N137" s="93" t="n"/>
      <c r="O137" s="93" t="n"/>
      <c r="P137" s="93" t="n"/>
      <c r="Q137" s="93" t="n"/>
      <c r="R137" s="92">
        <f>IFERROR(MIN(G137:K137),"-")</f>
        <v/>
      </c>
      <c r="S137" s="9">
        <f>IFERROR(INDEX(M137:Q137,MATCH(MIN(G137:K137),G137:K137,0)),"-")</f>
        <v/>
      </c>
      <c r="T137" t="inlineStr">
        <is>
          <t>FLANS</t>
        </is>
      </c>
    </row>
    <row r="138" ht="24" customHeight="1">
      <c r="A138" s="90" t="n">
        <v>129</v>
      </c>
      <c r="C138" s="9" t="inlineStr">
        <is>
          <t>OZEL-129</t>
        </is>
      </c>
      <c r="D138" s="61" t="inlineStr">
        <is>
          <t>8", CS, FLANGE, WELDNECK, P245GH, FF, EN 1092-1, EN 10222-2, PN16</t>
        </is>
      </c>
      <c r="E138" s="60" t="n"/>
      <c r="F138" s="60" t="n"/>
      <c r="G138" s="91" t="n"/>
      <c r="H138" s="91" t="n"/>
      <c r="I138" s="91" t="n"/>
      <c r="J138" s="91" t="n"/>
      <c r="K138" s="91" t="n"/>
      <c r="L138" s="92">
        <f>IFERROR(AVERAGEIF(G138:K138,"&gt;0"),"-")</f>
        <v/>
      </c>
      <c r="M138" s="93" t="n"/>
      <c r="N138" s="93" t="n"/>
      <c r="O138" s="93" t="n"/>
      <c r="P138" s="93" t="n"/>
      <c r="Q138" s="93" t="n"/>
      <c r="R138" s="92">
        <f>IFERROR(MIN(G138:K138),"-")</f>
        <v/>
      </c>
      <c r="S138" s="9">
        <f>IFERROR(INDEX(M138:Q138,MATCH(MIN(G138:K138),G138:K138,0)),"-")</f>
        <v/>
      </c>
      <c r="T138" t="inlineStr">
        <is>
          <t>FLANS</t>
        </is>
      </c>
    </row>
    <row r="139" ht="24" customHeight="1">
      <c r="A139" s="90" t="n">
        <v>130</v>
      </c>
      <c r="C139" s="9" t="inlineStr">
        <is>
          <t>OZEL-130</t>
        </is>
      </c>
      <c r="D139" s="61" t="inlineStr">
        <is>
          <t>3", CS, SPIRAL WOUND GASKET, 304 / GRAPHITE \U+2013 CS, CENTERING RING, 4.5 MM, 150LB, RF , ASME B16.20</t>
        </is>
      </c>
      <c r="E139" s="60" t="n"/>
      <c r="F139" s="60" t="n"/>
      <c r="G139" s="91" t="n"/>
      <c r="H139" s="91" t="n"/>
      <c r="I139" s="91" t="n"/>
      <c r="J139" s="91" t="n"/>
      <c r="K139" s="91" t="n"/>
      <c r="L139" s="92">
        <f>IFERROR(AVERAGEIF(G139:K139,"&gt;0"),"-")</f>
        <v/>
      </c>
      <c r="M139" s="93" t="n"/>
      <c r="N139" s="93" t="n"/>
      <c r="O139" s="93" t="n"/>
      <c r="P139" s="93" t="n"/>
      <c r="Q139" s="93" t="n"/>
      <c r="R139" s="92">
        <f>IFERROR(MIN(G139:K139),"-")</f>
        <v/>
      </c>
      <c r="S139" s="9">
        <f>IFERROR(INDEX(M139:Q139,MATCH(MIN(G139:K139),G139:K139,0)),"-")</f>
        <v/>
      </c>
      <c r="T139" t="inlineStr">
        <is>
          <t>GASKET&amp;BOLT</t>
        </is>
      </c>
    </row>
    <row r="140" ht="24" customHeight="1">
      <c r="A140" s="90" t="n">
        <v>131</v>
      </c>
      <c r="C140" s="9" t="inlineStr">
        <is>
          <t>OZEL-131</t>
        </is>
      </c>
      <c r="D140" s="61" t="inlineStr">
        <is>
          <t>8", CS, SPIRAL WOUND GASKET, 304 / GRAPHITE \U+2013 CS, CENTERING RING, 4.5 MM, 150LB, RF , ASME B16.20</t>
        </is>
      </c>
      <c r="E140" s="60" t="n"/>
      <c r="F140" s="60" t="n"/>
      <c r="G140" s="91" t="n"/>
      <c r="H140" s="91" t="n"/>
      <c r="I140" s="91" t="n"/>
      <c r="J140" s="91" t="n"/>
      <c r="K140" s="91" t="n"/>
      <c r="L140" s="92">
        <f>IFERROR(AVERAGEIF(G140:K140,"&gt;0"),"-")</f>
        <v/>
      </c>
      <c r="M140" s="93" t="n"/>
      <c r="N140" s="93" t="n"/>
      <c r="O140" s="93" t="n"/>
      <c r="P140" s="93" t="n"/>
      <c r="Q140" s="93" t="n"/>
      <c r="R140" s="92">
        <f>IFERROR(MIN(G140:K140),"-")</f>
        <v/>
      </c>
      <c r="S140" s="9">
        <f>IFERROR(INDEX(M140:Q140,MATCH(MIN(G140:K140),G140:K140,0)),"-")</f>
        <v/>
      </c>
      <c r="T140" t="inlineStr">
        <is>
          <t>GASKET&amp;BOLT</t>
        </is>
      </c>
    </row>
    <row r="141" ht="24" customHeight="1">
      <c r="A141" s="90" t="n">
        <v>132</v>
      </c>
      <c r="C141" s="9" t="inlineStr">
        <is>
          <t>OZEL-132</t>
        </is>
      </c>
      <c r="D141" s="61" t="inlineStr">
        <is>
          <t>4", CS, GASKET, GARLOCK 3000 OR PURCHASER APPROVED EQUAL, PN16, FF, BS 7531 GRY.</t>
        </is>
      </c>
      <c r="E141" s="60" t="n"/>
      <c r="F141" s="60" t="n"/>
      <c r="G141" s="91" t="n"/>
      <c r="H141" s="91" t="n"/>
      <c r="I141" s="91" t="n"/>
      <c r="J141" s="91" t="n"/>
      <c r="K141" s="91" t="n"/>
      <c r="L141" s="92">
        <f>IFERROR(AVERAGEIF(G141:K141,"&gt;0"),"-")</f>
        <v/>
      </c>
      <c r="M141" s="93" t="n"/>
      <c r="N141" s="93" t="n"/>
      <c r="O141" s="93" t="n"/>
      <c r="P141" s="93" t="n"/>
      <c r="Q141" s="93" t="n"/>
      <c r="R141" s="92">
        <f>IFERROR(MIN(G141:K141),"-")</f>
        <v/>
      </c>
      <c r="S141" s="9">
        <f>IFERROR(INDEX(M141:Q141,MATCH(MIN(G141:K141),G141:K141,0)),"-")</f>
        <v/>
      </c>
      <c r="T141" t="inlineStr">
        <is>
          <t>GASKET&amp;BOLT</t>
        </is>
      </c>
    </row>
    <row r="142" ht="24" customHeight="1">
      <c r="A142" s="90" t="n">
        <v>133</v>
      </c>
      <c r="C142" s="9" t="inlineStr">
        <is>
          <t>OZEL-133</t>
        </is>
      </c>
      <c r="D142" s="61" t="inlineStr">
        <is>
          <t>8", CS, GASKET, GARLOCK 3000 OR PURCHASER APPROVED EQUAL, PN16, FF, BS 7531 GRY.</t>
        </is>
      </c>
      <c r="E142" s="60" t="n"/>
      <c r="F142" s="60" t="n"/>
      <c r="G142" s="91" t="n"/>
      <c r="H142" s="91" t="n"/>
      <c r="I142" s="91" t="n"/>
      <c r="J142" s="91" t="n"/>
      <c r="K142" s="91" t="n"/>
      <c r="L142" s="92">
        <f>IFERROR(AVERAGEIF(G142:K142,"&gt;0"),"-")</f>
        <v/>
      </c>
      <c r="M142" s="93" t="n"/>
      <c r="N142" s="93" t="n"/>
      <c r="O142" s="93" t="n"/>
      <c r="P142" s="93" t="n"/>
      <c r="Q142" s="93" t="n"/>
      <c r="R142" s="92">
        <f>IFERROR(MIN(G142:K142),"-")</f>
        <v/>
      </c>
      <c r="S142" s="9">
        <f>IFERROR(INDEX(M142:Q142,MATCH(MIN(G142:K142),G142:K142,0)),"-")</f>
        <v/>
      </c>
      <c r="T142" t="inlineStr">
        <is>
          <t>GASKET&amp;BOLT</t>
        </is>
      </c>
    </row>
    <row r="143" ht="24" customHeight="1">
      <c r="A143" s="90" t="n">
        <v>134</v>
      </c>
      <c r="C143" s="9" t="inlineStr">
        <is>
          <t>OZEL-134</t>
        </is>
      </c>
      <c r="D143" s="61" t="inlineStr">
        <is>
          <t>3", CS, PIPE, ASTM A 106 GR.B OR ASTM A53 GR.B , ASME B36.10, SAW-SAWL, BEVELED ENDS, SCH40</t>
        </is>
      </c>
      <c r="E143" s="60" t="n"/>
      <c r="F143" s="60" t="n"/>
      <c r="G143" s="91" t="n"/>
      <c r="H143" s="91" t="n"/>
      <c r="I143" s="91" t="n"/>
      <c r="J143" s="91" t="n"/>
      <c r="K143" s="91" t="n"/>
      <c r="L143" s="92">
        <f>IFERROR(AVERAGEIF(G143:K143,"&gt;0"),"-")</f>
        <v/>
      </c>
      <c r="M143" s="93" t="n"/>
      <c r="N143" s="93" t="n"/>
      <c r="O143" s="93" t="n"/>
      <c r="P143" s="93" t="n"/>
      <c r="Q143" s="93" t="n"/>
      <c r="R143" s="92">
        <f>IFERROR(MIN(G143:K143),"-")</f>
        <v/>
      </c>
      <c r="S143" s="9">
        <f>IFERROR(INDEX(M143:Q143,MATCH(MIN(G143:K143),G143:K143,0)),"-")</f>
        <v/>
      </c>
      <c r="T143" t="inlineStr">
        <is>
          <t>BORU</t>
        </is>
      </c>
    </row>
    <row r="144" ht="24" customHeight="1">
      <c r="A144" s="90" t="n">
        <v>135</v>
      </c>
      <c r="C144" s="9" t="inlineStr">
        <is>
          <t>OZEL-135</t>
        </is>
      </c>
      <c r="D144" s="61" t="inlineStr">
        <is>
          <t>4", CS, PIPE, ASTM A 106 GR.B OR ASTM A53 GR.B , ASME B36.10, SAW-SAWL, BEVELED ENDS, SCH40</t>
        </is>
      </c>
      <c r="E144" s="60" t="n"/>
      <c r="F144" s="60" t="n"/>
      <c r="G144" s="91" t="n"/>
      <c r="H144" s="91" t="n"/>
      <c r="I144" s="91" t="n"/>
      <c r="J144" s="91" t="n"/>
      <c r="K144" s="91" t="n"/>
      <c r="L144" s="92">
        <f>IFERROR(AVERAGEIF(G144:K144,"&gt;0"),"-")</f>
        <v/>
      </c>
      <c r="M144" s="93" t="n"/>
      <c r="N144" s="93" t="n"/>
      <c r="O144" s="93" t="n"/>
      <c r="P144" s="93" t="n"/>
      <c r="Q144" s="93" t="n"/>
      <c r="R144" s="92">
        <f>IFERROR(MIN(G144:K144),"-")</f>
        <v/>
      </c>
      <c r="S144" s="9">
        <f>IFERROR(INDEX(M144:Q144,MATCH(MIN(G144:K144),G144:K144,0)),"-")</f>
        <v/>
      </c>
      <c r="T144" t="inlineStr">
        <is>
          <t>BORU</t>
        </is>
      </c>
    </row>
    <row r="145" ht="24" customHeight="1">
      <c r="A145" s="90" t="n">
        <v>136</v>
      </c>
      <c r="C145" s="9" t="inlineStr">
        <is>
          <t>OZEL-136</t>
        </is>
      </c>
      <c r="D145" s="61" t="inlineStr">
        <is>
          <t>8", CS, PIPE, ASTM A 106 GR.B OR API 5L GR B PSL1, ASME 36.10, SAW-SAWL, BEVELED ENDS, SCH20</t>
        </is>
      </c>
      <c r="E145" s="60" t="n"/>
      <c r="F145" s="60" t="n"/>
      <c r="G145" s="91" t="n"/>
      <c r="H145" s="91" t="n"/>
      <c r="I145" s="91" t="n"/>
      <c r="J145" s="91" t="n"/>
      <c r="K145" s="91" t="n"/>
      <c r="L145" s="92">
        <f>IFERROR(AVERAGEIF(G145:K145,"&gt;0"),"-")</f>
        <v/>
      </c>
      <c r="M145" s="93" t="n"/>
      <c r="N145" s="93" t="n"/>
      <c r="O145" s="93" t="n"/>
      <c r="P145" s="93" t="n"/>
      <c r="Q145" s="93" t="n"/>
      <c r="R145" s="92">
        <f>IFERROR(MIN(G145:K145),"-")</f>
        <v/>
      </c>
      <c r="S145" s="9">
        <f>IFERROR(INDEX(M145:Q145,MATCH(MIN(G145:K145),G145:K145,0)),"-")</f>
        <v/>
      </c>
      <c r="T145" t="inlineStr">
        <is>
          <t>BORU</t>
        </is>
      </c>
    </row>
    <row r="146" ht="24" customHeight="1">
      <c r="A146" s="90" t="n">
        <v>137</v>
      </c>
      <c r="C146" s="9" t="inlineStr">
        <is>
          <t>OZEL-137</t>
        </is>
      </c>
      <c r="D146" s="61" t="inlineStr">
        <is>
          <t>8"X3", CS, TEE (RED), BW, ASME B16.9, ASTM A234 WPB, SCH20X40</t>
        </is>
      </c>
      <c r="E146" s="60" t="n"/>
      <c r="F146" s="60" t="n"/>
      <c r="G146" s="91" t="n"/>
      <c r="H146" s="91" t="n"/>
      <c r="I146" s="91" t="n"/>
      <c r="J146" s="91" t="n"/>
      <c r="K146" s="91" t="n"/>
      <c r="L146" s="92">
        <f>IFERROR(AVERAGEIF(G146:K146,"&gt;0"),"-")</f>
        <v/>
      </c>
      <c r="M146" s="93" t="n"/>
      <c r="N146" s="93" t="n"/>
      <c r="O146" s="93" t="n"/>
      <c r="P146" s="93" t="n"/>
      <c r="Q146" s="93" t="n"/>
      <c r="R146" s="92">
        <f>IFERROR(MIN(G146:K146),"-")</f>
        <v/>
      </c>
      <c r="S146" s="9">
        <f>IFERROR(INDEX(M146:Q146,MATCH(MIN(G146:K146),G146:K146,0)),"-")</f>
        <v/>
      </c>
      <c r="T146" t="inlineStr">
        <is>
          <t>FİTTİNG</t>
        </is>
      </c>
    </row>
    <row r="147" ht="24" customHeight="1">
      <c r="A147" s="90" t="n">
        <v>138</v>
      </c>
      <c r="C147" s="9" t="inlineStr">
        <is>
          <t>OZEL-138</t>
        </is>
      </c>
      <c r="D147" s="61" t="inlineStr">
        <is>
          <t>8"X4", CS, TEE (RED), BW, ASME B16.9, ASTM A234 WPB, SCH20X40</t>
        </is>
      </c>
      <c r="E147" s="60" t="n"/>
      <c r="F147" s="60" t="n"/>
      <c r="G147" s="91" t="n"/>
      <c r="H147" s="91" t="n"/>
      <c r="I147" s="91" t="n"/>
      <c r="J147" s="91" t="n"/>
      <c r="K147" s="91" t="n"/>
      <c r="L147" s="92">
        <f>IFERROR(AVERAGEIF(G147:K147,"&gt;0"),"-")</f>
        <v/>
      </c>
      <c r="M147" s="93" t="n"/>
      <c r="N147" s="93" t="n"/>
      <c r="O147" s="93" t="n"/>
      <c r="P147" s="93" t="n"/>
      <c r="Q147" s="93" t="n"/>
      <c r="R147" s="92">
        <f>IFERROR(MIN(G147:K147),"-")</f>
        <v/>
      </c>
      <c r="S147" s="9">
        <f>IFERROR(INDEX(M147:Q147,MATCH(MIN(G147:K147),G147:K147,0)),"-")</f>
        <v/>
      </c>
      <c r="T147" t="inlineStr">
        <is>
          <t>FİTTİNG</t>
        </is>
      </c>
    </row>
    <row r="148" ht="24" customHeight="1">
      <c r="A148" s="90" t="n">
        <v>139</v>
      </c>
      <c r="C148" s="9" t="inlineStr">
        <is>
          <t>OZEL-139</t>
        </is>
      </c>
      <c r="D148" s="61" t="inlineStr">
        <is>
          <t>12", CS, 12", PIPE, CS, ASTM A106/API 5L Gr PSL1, BW, ASME B36.10, SMLS, PE, SCH20</t>
        </is>
      </c>
      <c r="E148" s="60" t="n"/>
      <c r="F148" s="60" t="n"/>
      <c r="G148" s="96" t="n">
        <v>73.34999999999999</v>
      </c>
      <c r="H148" s="97" t="n">
        <v>65.48999999999999</v>
      </c>
      <c r="I148" s="91" t="n"/>
      <c r="J148" s="91" t="n"/>
      <c r="K148" s="91" t="n"/>
      <c r="L148" s="92">
        <f>IFERROR(AVERAGEIF(G148:K148,"&gt;0"),"-")</f>
        <v/>
      </c>
      <c r="M148" s="93" t="inlineStr">
        <is>
          <t>AKEL BORU</t>
        </is>
      </c>
      <c r="N148" s="93" t="inlineStr">
        <is>
          <t>HERA ÇELİK</t>
        </is>
      </c>
      <c r="O148" s="93" t="n"/>
      <c r="P148" s="93" t="n"/>
      <c r="Q148" s="93" t="n"/>
      <c r="R148" s="92">
        <f>IFERROR(MIN(G148:K148),"-")</f>
        <v/>
      </c>
      <c r="S148" s="9">
        <f>IFERROR(INDEX(M148:Q148,MATCH(MIN(G148:K148),G148:K148,0)),"-")</f>
        <v/>
      </c>
      <c r="T148" t="inlineStr">
        <is>
          <t>BORU</t>
        </is>
      </c>
    </row>
    <row r="149" ht="24" customHeight="1">
      <c r="A149" s="90" t="n">
        <v>140</v>
      </c>
      <c r="C149" s="9" t="inlineStr">
        <is>
          <t>OZEL-140</t>
        </is>
      </c>
      <c r="D149" s="61" t="inlineStr">
        <is>
          <t>6", CS, 6", Pipe, ASTM A 106 GR.B or ASTM A53 GR.B SCH 40, ASME B36.10, SAW-SAWL, Beveled Ends</t>
        </is>
      </c>
      <c r="E149" s="60" t="n"/>
      <c r="F149" s="60" t="n"/>
      <c r="G149" s="96" t="n">
        <v>31.8</v>
      </c>
      <c r="H149" s="97" t="n">
        <v>35.28</v>
      </c>
      <c r="I149" s="91" t="n"/>
      <c r="J149" s="91" t="n"/>
      <c r="K149" s="91" t="n"/>
      <c r="L149" s="92">
        <f>IFERROR(AVERAGEIF(G149:K149,"&gt;0"),"-")</f>
        <v/>
      </c>
      <c r="M149" s="93" t="inlineStr">
        <is>
          <t>AKEL BORU</t>
        </is>
      </c>
      <c r="N149" s="93" t="inlineStr">
        <is>
          <t>HERA ÇELİK</t>
        </is>
      </c>
      <c r="O149" s="93" t="n"/>
      <c r="P149" s="93" t="n"/>
      <c r="Q149" s="93" t="n"/>
      <c r="R149" s="92">
        <f>IFERROR(MIN(G149:K149),"-")</f>
        <v/>
      </c>
      <c r="S149" s="9">
        <f>IFERROR(INDEX(M149:Q149,MATCH(MIN(G149:K149),G149:K149,0)),"-")</f>
        <v/>
      </c>
      <c r="T149" t="inlineStr">
        <is>
          <t>BORU</t>
        </is>
      </c>
    </row>
    <row r="150" ht="24" customHeight="1">
      <c r="A150" s="90" t="n">
        <v>141</v>
      </c>
      <c r="C150" s="9" t="inlineStr">
        <is>
          <t>OZEL-141</t>
        </is>
      </c>
      <c r="D150" s="61" t="inlineStr">
        <is>
          <t>6", CS, 6", PIPE, CS, ASTM A106/API 5L Gr PSL1, BW, ASME B36.10, SMLS, PE, SCH20</t>
        </is>
      </c>
      <c r="E150" s="60" t="n"/>
      <c r="F150" s="60" t="n"/>
      <c r="G150" s="96" t="n">
        <v>28.55</v>
      </c>
      <c r="H150" s="97" t="n">
        <v>35.28</v>
      </c>
      <c r="I150" s="91" t="n"/>
      <c r="J150" s="91" t="n"/>
      <c r="K150" s="91" t="n"/>
      <c r="L150" s="92">
        <f>IFERROR(AVERAGEIF(G150:K150,"&gt;0"),"-")</f>
        <v/>
      </c>
      <c r="M150" s="93" t="inlineStr">
        <is>
          <t>AKEL BORU</t>
        </is>
      </c>
      <c r="N150" s="93" t="inlineStr">
        <is>
          <t>HERA ÇELİK</t>
        </is>
      </c>
      <c r="O150" s="93" t="n"/>
      <c r="P150" s="93" t="n"/>
      <c r="Q150" s="93" t="n"/>
      <c r="R150" s="92">
        <f>IFERROR(MIN(G150:K150),"-")</f>
        <v/>
      </c>
      <c r="S150" s="9">
        <f>IFERROR(INDEX(M150:Q150,MATCH(MIN(G150:K150),G150:K150,0)),"-")</f>
        <v/>
      </c>
      <c r="T150" t="inlineStr">
        <is>
          <t>BORU</t>
        </is>
      </c>
    </row>
    <row r="151" ht="24" customHeight="1">
      <c r="A151" s="90" t="n">
        <v>142</v>
      </c>
      <c r="C151" s="9" t="inlineStr">
        <is>
          <t>OZEL-142</t>
        </is>
      </c>
      <c r="D151" s="61" t="inlineStr">
        <is>
          <t>8", CS, 8", Pipe, ASTM A 106 GR.B or API 5L Gr B PSL1 SCH 20, ASME 36.10, SAW-SAWL, Beveled Ends</t>
        </is>
      </c>
      <c r="E151" s="60" t="n"/>
      <c r="F151" s="60" t="n"/>
      <c r="G151" s="96" t="n">
        <v>37.5</v>
      </c>
      <c r="H151" s="97" t="n">
        <v>45.9</v>
      </c>
      <c r="I151" s="91" t="n"/>
      <c r="J151" s="91" t="n"/>
      <c r="K151" s="91" t="n"/>
      <c r="L151" s="92">
        <f>IFERROR(AVERAGEIF(G151:K151,"&gt;0"),"-")</f>
        <v/>
      </c>
      <c r="M151" s="93" t="inlineStr">
        <is>
          <t>AKEL BORU</t>
        </is>
      </c>
      <c r="N151" s="93" t="inlineStr">
        <is>
          <t>HERA ÇELİK</t>
        </is>
      </c>
      <c r="O151" s="93" t="n"/>
      <c r="P151" s="93" t="n"/>
      <c r="Q151" s="93" t="n"/>
      <c r="R151" s="92">
        <f>IFERROR(MIN(G151:K151),"-")</f>
        <v/>
      </c>
      <c r="S151" s="9">
        <f>IFERROR(INDEX(M151:Q151,MATCH(MIN(G151:K151),G151:K151,0)),"-")</f>
        <v/>
      </c>
      <c r="T151" t="inlineStr">
        <is>
          <t>BORU</t>
        </is>
      </c>
    </row>
    <row r="152" ht="24" customHeight="1">
      <c r="A152" s="90" t="n">
        <v>143</v>
      </c>
      <c r="C152" s="9" t="inlineStr">
        <is>
          <t>OZEL-143</t>
        </is>
      </c>
      <c r="D152" s="61" t="inlineStr">
        <is>
          <t>8", CS, 8", Pipe, ASTM A 106 GR.B or ASTM A53 GR.B SCH 40, ASME B36.10, SAW-SAWL, Beveled Ends</t>
        </is>
      </c>
      <c r="E152" s="60" t="n"/>
      <c r="F152" s="60" t="n"/>
      <c r="G152" s="96" t="n">
        <v>47.9</v>
      </c>
      <c r="H152" s="97" t="n">
        <v>45.9</v>
      </c>
      <c r="I152" s="91" t="n"/>
      <c r="J152" s="91" t="n"/>
      <c r="K152" s="91" t="n"/>
      <c r="L152" s="92">
        <f>IFERROR(AVERAGEIF(G152:K152,"&gt;0"),"-")</f>
        <v/>
      </c>
      <c r="M152" s="93" t="inlineStr">
        <is>
          <t>AKEL BORU</t>
        </is>
      </c>
      <c r="N152" s="93" t="inlineStr">
        <is>
          <t>HERA ÇELİK</t>
        </is>
      </c>
      <c r="O152" s="93" t="n"/>
      <c r="P152" s="93" t="n"/>
      <c r="Q152" s="93" t="n"/>
      <c r="R152" s="92">
        <f>IFERROR(MIN(G152:K152),"-")</f>
        <v/>
      </c>
      <c r="S152" s="9">
        <f>IFERROR(INDEX(M152:Q152,MATCH(MIN(G152:K152),G152:K152,0)),"-")</f>
        <v/>
      </c>
      <c r="T152" t="inlineStr">
        <is>
          <t>BORU</t>
        </is>
      </c>
    </row>
    <row r="153" ht="24" customHeight="1">
      <c r="A153" s="90" t="n">
        <v>144</v>
      </c>
      <c r="C153" s="9" t="inlineStr">
        <is>
          <t>OZEL-144</t>
        </is>
      </c>
      <c r="D153" s="61" t="inlineStr">
        <is>
          <t>16", CS, 16", PIPE, CS API 5L Gr X60, COATED PSL2, WELDED, BE, SCHSTD, ASME B36.10</t>
        </is>
      </c>
      <c r="E153" s="60" t="n"/>
      <c r="F153" s="60" t="n"/>
      <c r="G153" s="96" t="n">
        <v>336.25</v>
      </c>
      <c r="H153" s="97" t="n">
        <v>362.61</v>
      </c>
      <c r="I153" s="91" t="n"/>
      <c r="J153" s="91" t="n"/>
      <c r="K153" s="91" t="n"/>
      <c r="L153" s="92">
        <f>IFERROR(AVERAGEIF(G153:K153,"&gt;0"),"-")</f>
        <v/>
      </c>
      <c r="M153" s="93" t="inlineStr">
        <is>
          <t>AKEL BORU</t>
        </is>
      </c>
      <c r="N153" s="93" t="inlineStr">
        <is>
          <t>HERA ÇELİK</t>
        </is>
      </c>
      <c r="O153" s="93" t="n"/>
      <c r="P153" s="93" t="n"/>
      <c r="Q153" s="93" t="n"/>
      <c r="R153" s="92">
        <f>IFERROR(MIN(G153:K153),"-")</f>
        <v/>
      </c>
      <c r="S153" s="9">
        <f>IFERROR(INDEX(M153:Q153,MATCH(MIN(G153:K153),G153:K153,0)),"-")</f>
        <v/>
      </c>
      <c r="T153" t="inlineStr">
        <is>
          <t>BORU</t>
        </is>
      </c>
    </row>
    <row r="154" ht="24" customHeight="1">
      <c r="A154" s="90" t="n">
        <v>145</v>
      </c>
      <c r="C154" s="9" t="inlineStr">
        <is>
          <t>OZEL-145</t>
        </is>
      </c>
      <c r="D154" s="61" t="inlineStr">
        <is>
          <t>8", CS, 8", Flange, Welding Neck, ASME B16.5, 150#, Raised Face, ASTM A 105, ASME B16.5</t>
        </is>
      </c>
      <c r="E154" s="60" t="n"/>
      <c r="F154" s="60" t="n"/>
      <c r="G154" s="97" t="n">
        <v>98.33</v>
      </c>
      <c r="H154" s="91" t="n"/>
      <c r="I154" s="91" t="n"/>
      <c r="J154" s="91" t="n"/>
      <c r="K154" s="91" t="n"/>
      <c r="L154" s="92">
        <f>IFERROR(AVERAGEIF(G154:K154,"&gt;0"),"-")</f>
        <v/>
      </c>
      <c r="M154" s="93" t="inlineStr">
        <is>
          <t>HERA ÇELİK</t>
        </is>
      </c>
      <c r="N154" s="93" t="n"/>
      <c r="O154" s="93" t="n"/>
      <c r="P154" s="93" t="n"/>
      <c r="Q154" s="93" t="n"/>
      <c r="R154" s="92">
        <f>IFERROR(MIN(G154:K154),"-")</f>
        <v/>
      </c>
      <c r="S154" s="9">
        <f>IFERROR(INDEX(M154:Q154,MATCH(MIN(G154:K154),G154:K154,0)),"-")</f>
        <v/>
      </c>
      <c r="T154" t="inlineStr">
        <is>
          <t>FLANS</t>
        </is>
      </c>
    </row>
    <row r="155" ht="24" customHeight="1">
      <c r="A155" s="90" t="n">
        <v>146</v>
      </c>
      <c r="C155" s="9" t="inlineStr">
        <is>
          <t>OZEL-146</t>
        </is>
      </c>
      <c r="D155" s="61" t="inlineStr">
        <is>
          <t>16", CS, 16", 45 LR ELBOW, CS ASTM A234 WPB, BW, ASME B16.9, BE, SCHSTD</t>
        </is>
      </c>
      <c r="E155" s="60" t="n"/>
      <c r="F155" s="60" t="n"/>
      <c r="G155" s="97" t="n">
        <v>216.33</v>
      </c>
      <c r="H155" s="91" t="n"/>
      <c r="I155" s="91" t="n"/>
      <c r="J155" s="91" t="n"/>
      <c r="K155" s="91" t="n"/>
      <c r="L155" s="92">
        <f>IFERROR(AVERAGEIF(G155:K155,"&gt;0"),"-")</f>
        <v/>
      </c>
      <c r="M155" s="93" t="inlineStr">
        <is>
          <t>HERA ÇELİK</t>
        </is>
      </c>
      <c r="N155" s="93" t="n"/>
      <c r="O155" s="93" t="n"/>
      <c r="P155" s="93" t="n"/>
      <c r="Q155" s="93" t="n"/>
      <c r="R155" s="92">
        <f>IFERROR(MIN(G155:K155),"-")</f>
        <v/>
      </c>
      <c r="S155" s="9">
        <f>IFERROR(INDEX(M155:Q155,MATCH(MIN(G155:K155),G155:K155,0)),"-")</f>
        <v/>
      </c>
      <c r="T155" t="inlineStr">
        <is>
          <t>FİTTİNG</t>
        </is>
      </c>
    </row>
    <row r="156" ht="24" customHeight="1">
      <c r="A156" s="90" t="n">
        <v>147</v>
      </c>
      <c r="C156" s="9" t="inlineStr">
        <is>
          <t>OZEL-147</t>
        </is>
      </c>
      <c r="D156" s="61" t="inlineStr">
        <is>
          <t>6", CS, 6", 45 LR ELBOW, CS ASTM A234 WPB, BW, ASME B16.9, BE, SCH40</t>
        </is>
      </c>
      <c r="E156" s="60" t="n"/>
      <c r="F156" s="60" t="n"/>
      <c r="G156" s="97" t="n">
        <v>20.06</v>
      </c>
      <c r="H156" s="91" t="n"/>
      <c r="I156" s="91" t="n"/>
      <c r="J156" s="91" t="n"/>
      <c r="K156" s="91" t="n"/>
      <c r="L156" s="92">
        <f>IFERROR(AVERAGEIF(G156:K156,"&gt;0"),"-")</f>
        <v/>
      </c>
      <c r="M156" s="93" t="inlineStr">
        <is>
          <t>HERA ÇELİK</t>
        </is>
      </c>
      <c r="N156" s="93" t="n"/>
      <c r="O156" s="93" t="n"/>
      <c r="P156" s="93" t="n"/>
      <c r="Q156" s="93" t="n"/>
      <c r="R156" s="92">
        <f>IFERROR(MIN(G156:K156),"-")</f>
        <v/>
      </c>
      <c r="S156" s="9">
        <f>IFERROR(INDEX(M156:Q156,MATCH(MIN(G156:K156),G156:K156,0)),"-")</f>
        <v/>
      </c>
      <c r="T156" t="inlineStr">
        <is>
          <t>FİTTİNG</t>
        </is>
      </c>
    </row>
    <row r="157" ht="24" customHeight="1">
      <c r="A157" s="90" t="n">
        <v>148</v>
      </c>
      <c r="C157" s="9" t="inlineStr">
        <is>
          <t>OZEL-148</t>
        </is>
      </c>
      <c r="D157" s="61" t="inlineStr">
        <is>
          <t>8", CS, 8", 45 LR ELBOW, CS ASTM A234 WPB, BW, ASME B16.9, BE, SCH20</t>
        </is>
      </c>
      <c r="E157" s="60" t="n"/>
      <c r="F157" s="60" t="n"/>
      <c r="G157" s="97" t="n">
        <v>41.96</v>
      </c>
      <c r="H157" s="91" t="n"/>
      <c r="I157" s="91" t="n"/>
      <c r="J157" s="91" t="n"/>
      <c r="K157" s="91" t="n"/>
      <c r="L157" s="92">
        <f>IFERROR(AVERAGEIF(G157:K157,"&gt;0"),"-")</f>
        <v/>
      </c>
      <c r="M157" s="93" t="inlineStr">
        <is>
          <t>HERA ÇELİK</t>
        </is>
      </c>
      <c r="N157" s="93" t="n"/>
      <c r="O157" s="93" t="n"/>
      <c r="P157" s="93" t="n"/>
      <c r="Q157" s="93" t="n"/>
      <c r="R157" s="92">
        <f>IFERROR(MIN(G157:K157),"-")</f>
        <v/>
      </c>
      <c r="S157" s="9">
        <f>IFERROR(INDEX(M157:Q157,MATCH(MIN(G157:K157),G157:K157,0)),"-")</f>
        <v/>
      </c>
      <c r="T157" t="inlineStr">
        <is>
          <t>FİTTİNG</t>
        </is>
      </c>
    </row>
    <row r="158" ht="24" customHeight="1">
      <c r="A158" s="90" t="n">
        <v>149</v>
      </c>
      <c r="C158" s="9" t="inlineStr">
        <is>
          <t>OZEL-149</t>
        </is>
      </c>
      <c r="D158" s="61" t="inlineStr">
        <is>
          <t>16", CS, 16", 90 LR ELBOW, CS ASTM A234 WPB, BW, ASME B16.9, BE, SCHSTD</t>
        </is>
      </c>
      <c r="E158" s="60" t="n"/>
      <c r="F158" s="60" t="n"/>
      <c r="G158" s="97" t="n">
        <v>285.82</v>
      </c>
      <c r="H158" s="91" t="n"/>
      <c r="I158" s="91" t="n"/>
      <c r="J158" s="91" t="n"/>
      <c r="K158" s="91" t="n"/>
      <c r="L158" s="92">
        <f>IFERROR(AVERAGEIF(G158:K158,"&gt;0"),"-")</f>
        <v/>
      </c>
      <c r="M158" s="93" t="inlineStr">
        <is>
          <t>HERA ÇELİK</t>
        </is>
      </c>
      <c r="N158" s="93" t="n"/>
      <c r="O158" s="93" t="n"/>
      <c r="P158" s="93" t="n"/>
      <c r="Q158" s="93" t="n"/>
      <c r="R158" s="92">
        <f>IFERROR(MIN(G158:K158),"-")</f>
        <v/>
      </c>
      <c r="S158" s="9">
        <f>IFERROR(INDEX(M158:Q158,MATCH(MIN(G158:K158),G158:K158,0)),"-")</f>
        <v/>
      </c>
      <c r="T158" t="inlineStr">
        <is>
          <t>FİTTİNG</t>
        </is>
      </c>
    </row>
    <row r="159" ht="24" customHeight="1">
      <c r="A159" s="90" t="n">
        <v>150</v>
      </c>
      <c r="C159" s="9" t="inlineStr">
        <is>
          <t>OZEL-150</t>
        </is>
      </c>
      <c r="D159" s="61" t="inlineStr">
        <is>
          <t>6", CS, 6", 90 LR ELBOW, CS ASTM A234 WPB, BW, ASME B16.9, BE, SCH40</t>
        </is>
      </c>
      <c r="E159" s="60" t="n"/>
      <c r="F159" s="60" t="n"/>
      <c r="G159" s="97" t="n">
        <v>26.22</v>
      </c>
      <c r="H159" s="91" t="n"/>
      <c r="I159" s="91" t="n"/>
      <c r="J159" s="91" t="n"/>
      <c r="K159" s="91" t="n"/>
      <c r="L159" s="92">
        <f>IFERROR(AVERAGEIF(G159:K159,"&gt;0"),"-")</f>
        <v/>
      </c>
      <c r="M159" s="93" t="inlineStr">
        <is>
          <t>HERA ÇELİK</t>
        </is>
      </c>
      <c r="N159" s="93" t="n"/>
      <c r="O159" s="93" t="n"/>
      <c r="P159" s="93" t="n"/>
      <c r="Q159" s="93" t="n"/>
      <c r="R159" s="92">
        <f>IFERROR(MIN(G159:K159),"-")</f>
        <v/>
      </c>
      <c r="S159" s="9">
        <f>IFERROR(INDEX(M159:Q159,MATCH(MIN(G159:K159),G159:K159,0)),"-")</f>
        <v/>
      </c>
      <c r="T159" t="inlineStr">
        <is>
          <t>FİTTİNG</t>
        </is>
      </c>
    </row>
    <row r="160" ht="24" customHeight="1">
      <c r="A160" s="90" t="n">
        <v>151</v>
      </c>
      <c r="C160" s="9" t="inlineStr">
        <is>
          <t>OZEL-151</t>
        </is>
      </c>
      <c r="D160" s="61" t="inlineStr">
        <is>
          <t>8", CS, 8", 90 LR ELBOW, CS ASTM A234 WPB, BW, ASME B16.9, BE, SCH20</t>
        </is>
      </c>
      <c r="E160" s="60" t="n"/>
      <c r="F160" s="60" t="n"/>
      <c r="G160" s="97" t="n">
        <v>56.38</v>
      </c>
      <c r="H160" s="91" t="n"/>
      <c r="I160" s="91" t="n"/>
      <c r="J160" s="91" t="n"/>
      <c r="K160" s="91" t="n"/>
      <c r="L160" s="92">
        <f>IFERROR(AVERAGEIF(G160:K160,"&gt;0"),"-")</f>
        <v/>
      </c>
      <c r="M160" s="93" t="inlineStr">
        <is>
          <t>HERA ÇELİK</t>
        </is>
      </c>
      <c r="N160" s="93" t="n"/>
      <c r="O160" s="93" t="n"/>
      <c r="P160" s="93" t="n"/>
      <c r="Q160" s="93" t="n"/>
      <c r="R160" s="92">
        <f>IFERROR(MIN(G160:K160),"-")</f>
        <v/>
      </c>
      <c r="S160" s="9">
        <f>IFERROR(INDEX(M160:Q160,MATCH(MIN(G160:K160),G160:K160,0)),"-")</f>
        <v/>
      </c>
      <c r="T160" t="inlineStr">
        <is>
          <t>FİTTİNG</t>
        </is>
      </c>
    </row>
    <row r="161" ht="24" customHeight="1">
      <c r="A161" s="90" t="n">
        <v>152</v>
      </c>
      <c r="C161" s="9" t="inlineStr">
        <is>
          <t>OZEL-152</t>
        </is>
      </c>
      <c r="D161" s="61" t="inlineStr">
        <is>
          <t>M20X140, CS, M20X140 HEX BOLT SET, 25CrMo4, HEX HEAD BOLT PER EN ISO 4014 (PARTIALLY THD) / ONE NUT PER EN ISO 4032 / WASHER PER EN ISO 7089, EN10269</t>
        </is>
      </c>
      <c r="E161" s="60" t="n"/>
      <c r="F161" s="60" t="n"/>
      <c r="G161" s="97" t="n">
        <v>2.49</v>
      </c>
      <c r="H161" s="91" t="n"/>
      <c r="I161" s="91" t="n"/>
      <c r="J161" s="91" t="n"/>
      <c r="K161" s="91" t="n"/>
      <c r="L161" s="92">
        <f>IFERROR(AVERAGEIF(G161:K161,"&gt;0"),"-")</f>
        <v/>
      </c>
      <c r="M161" s="93" t="inlineStr">
        <is>
          <t>HERA ÇELİK</t>
        </is>
      </c>
      <c r="N161" s="93" t="n"/>
      <c r="O161" s="93" t="n"/>
      <c r="P161" s="93" t="n"/>
      <c r="Q161" s="93" t="n"/>
      <c r="R161" s="92">
        <f>IFERROR(MIN(G161:K161),"-")</f>
        <v/>
      </c>
      <c r="S161" s="9">
        <f>IFERROR(INDEX(M161:Q161,MATCH(MIN(G161:K161),G161:K161,0)),"-")</f>
        <v/>
      </c>
      <c r="T161" t="inlineStr">
        <is>
          <t>GASKET&amp;BOLT</t>
        </is>
      </c>
    </row>
    <row r="162" ht="24" customHeight="1">
      <c r="A162" s="90" t="n">
        <v>153</v>
      </c>
      <c r="C162" s="9" t="inlineStr">
        <is>
          <t>OZEL-153</t>
        </is>
      </c>
      <c r="D162" s="61" t="inlineStr">
        <is>
          <t>M20X110, CS, M20X110 STUD BOLT, WITH 2 HEAVY HEXAGONAL NUTS, ASTM A193 Gr B7 / A194 Gr 2H, ASME B18.2.1 / B18.2.2</t>
        </is>
      </c>
      <c r="E162" s="60" t="n"/>
      <c r="F162" s="60" t="n"/>
      <c r="G162" s="97" t="n">
        <v>3.8</v>
      </c>
      <c r="H162" s="91" t="n"/>
      <c r="I162" s="91" t="n"/>
      <c r="J162" s="91" t="n"/>
      <c r="K162" s="91" t="n"/>
      <c r="L162" s="92">
        <f>IFERROR(AVERAGEIF(G162:K162,"&gt;0"),"-")</f>
        <v/>
      </c>
      <c r="M162" s="93" t="inlineStr">
        <is>
          <t>HERA ÇELİK</t>
        </is>
      </c>
      <c r="N162" s="93" t="n"/>
      <c r="O162" s="93" t="n"/>
      <c r="P162" s="93" t="n"/>
      <c r="Q162" s="93" t="n"/>
      <c r="R162" s="92">
        <f>IFERROR(MIN(G162:K162),"-")</f>
        <v/>
      </c>
      <c r="S162" s="9">
        <f>IFERROR(INDEX(M162:Q162,MATCH(MIN(G162:K162),G162:K162,0)),"-")</f>
        <v/>
      </c>
      <c r="T162" t="inlineStr">
        <is>
          <t>GASKET&amp;BOLT</t>
        </is>
      </c>
    </row>
    <row r="163" ht="24" customHeight="1">
      <c r="A163" s="90" t="n">
        <v>154</v>
      </c>
      <c r="C163" s="9" t="inlineStr">
        <is>
          <t>OZEL-154</t>
        </is>
      </c>
      <c r="D163" s="61" t="inlineStr">
        <is>
          <t>8", CS, 8", Spiral Wound Gasket, 304 / Graphite – CS, Centering Ring, 4.5 Mm, 150#, Face Type: Between, 
Flanges Raised Face , ASME B16.20</t>
        </is>
      </c>
      <c r="E163" s="60" t="n"/>
      <c r="F163" s="60" t="n"/>
      <c r="G163" s="97" t="n">
        <v>10.36</v>
      </c>
      <c r="H163" s="91" t="n"/>
      <c r="I163" s="91" t="n"/>
      <c r="J163" s="91" t="n"/>
      <c r="K163" s="91" t="n"/>
      <c r="L163" s="92">
        <f>IFERROR(AVERAGEIF(G163:K163,"&gt;0"),"-")</f>
        <v/>
      </c>
      <c r="M163" s="93" t="inlineStr">
        <is>
          <t>HERA ÇELİK</t>
        </is>
      </c>
      <c r="N163" s="93" t="n"/>
      <c r="O163" s="93" t="n"/>
      <c r="P163" s="93" t="n"/>
      <c r="Q163" s="93" t="n"/>
      <c r="R163" s="92">
        <f>IFERROR(MIN(G163:K163),"-")</f>
        <v/>
      </c>
      <c r="S163" s="9">
        <f>IFERROR(INDEX(M163:Q163,MATCH(MIN(G163:K163),G163:K163,0)),"-")</f>
        <v/>
      </c>
      <c r="T163" t="inlineStr">
        <is>
          <t>GASKET&amp;BOLT</t>
        </is>
      </c>
    </row>
    <row r="164" ht="24" customHeight="1">
      <c r="A164" s="90" t="n">
        <v>155</v>
      </c>
      <c r="C164" s="9" t="inlineStr">
        <is>
          <t>OZEL-155</t>
        </is>
      </c>
      <c r="D164" s="61" t="inlineStr">
        <is>
          <t>DN200, HDPE, DN200 PIPE, CORRUGATED/TRIPLEX PERFORATED, HDPE, EN 13476, BELL &amp; SPINGOT</t>
        </is>
      </c>
      <c r="E164" s="60" t="n"/>
      <c r="F164" s="60" t="n"/>
      <c r="G164" s="91" t="n"/>
      <c r="H164" s="91" t="n"/>
      <c r="I164" s="91" t="n"/>
      <c r="J164" s="91" t="n"/>
      <c r="K164" s="91" t="n"/>
      <c r="L164" s="92">
        <f>IFERROR(AVERAGEIF(G164:K164,"&gt;0"),"-")</f>
        <v/>
      </c>
      <c r="M164" s="93" t="n"/>
      <c r="N164" s="93" t="n"/>
      <c r="O164" s="93" t="n"/>
      <c r="P164" s="93" t="n"/>
      <c r="Q164" s="93" t="n"/>
      <c r="R164" s="92">
        <f>IFERROR(MIN(G164:K164),"-")</f>
        <v/>
      </c>
      <c r="S164" s="9">
        <f>IFERROR(INDEX(M164:Q164,MATCH(MIN(G164:K164),G164:K164,0)),"-")</f>
        <v/>
      </c>
      <c r="T164" t="inlineStr">
        <is>
          <t>BORU</t>
        </is>
      </c>
    </row>
    <row r="165" ht="24" customHeight="1">
      <c r="A165" s="90" t="n">
        <v>156</v>
      </c>
      <c r="C165" s="9" t="inlineStr">
        <is>
          <t>OZEL-156</t>
        </is>
      </c>
      <c r="D165" s="61" t="inlineStr">
        <is>
          <t>DN200, HDPE, DN200 PIPE, CORRUGATED/TRIPLEX  HDPE, EN 13476, BELL &amp; SPINGOT</t>
        </is>
      </c>
      <c r="E165" s="60" t="n"/>
      <c r="F165" s="60" t="n"/>
      <c r="G165" s="91" t="n"/>
      <c r="H165" s="91" t="n"/>
      <c r="I165" s="91" t="n"/>
      <c r="J165" s="91" t="n"/>
      <c r="K165" s="91" t="n"/>
      <c r="L165" s="92">
        <f>IFERROR(AVERAGEIF(G165:K165,"&gt;0"),"-")</f>
        <v/>
      </c>
      <c r="M165" s="93" t="n"/>
      <c r="N165" s="93" t="n"/>
      <c r="O165" s="93" t="n"/>
      <c r="P165" s="93" t="n"/>
      <c r="Q165" s="93" t="n"/>
      <c r="R165" s="92">
        <f>IFERROR(MIN(G165:K165),"-")</f>
        <v/>
      </c>
      <c r="S165" s="9">
        <f>IFERROR(INDEX(M165:Q165,MATCH(MIN(G165:K165),G165:K165,0)),"-")</f>
        <v/>
      </c>
      <c r="T165" t="inlineStr">
        <is>
          <t>BORU</t>
        </is>
      </c>
    </row>
    <row r="166" ht="24" customHeight="1">
      <c r="A166" s="90" t="n">
        <v>157</v>
      </c>
      <c r="C166" s="9" t="inlineStr">
        <is>
          <t>OZEL-157</t>
        </is>
      </c>
      <c r="D166" s="61" t="inlineStr">
        <is>
          <t>DN300, HDPE, DN300 PIPE, CORRUGATED/TRIPLEX PERFORATED, HDPE, EN 13476, BELL &amp; SPINGOT</t>
        </is>
      </c>
      <c r="E166" s="60" t="n"/>
      <c r="F166" s="60" t="n"/>
      <c r="G166" s="91" t="n"/>
      <c r="H166" s="91" t="n"/>
      <c r="I166" s="91" t="n"/>
      <c r="J166" s="91" t="n"/>
      <c r="K166" s="91" t="n"/>
      <c r="L166" s="92">
        <f>IFERROR(AVERAGEIF(G166:K166,"&gt;0"),"-")</f>
        <v/>
      </c>
      <c r="M166" s="93" t="n"/>
      <c r="N166" s="93" t="n"/>
      <c r="O166" s="93" t="n"/>
      <c r="P166" s="93" t="n"/>
      <c r="Q166" s="93" t="n"/>
      <c r="R166" s="92">
        <f>IFERROR(MIN(G166:K166),"-")</f>
        <v/>
      </c>
      <c r="S166" s="9">
        <f>IFERROR(INDEX(M166:Q166,MATCH(MIN(G166:K166),G166:K166,0)),"-")</f>
        <v/>
      </c>
      <c r="T166" t="inlineStr">
        <is>
          <t>BORU</t>
        </is>
      </c>
    </row>
    <row r="167" ht="24" customHeight="1">
      <c r="A167" s="90" t="n">
        <v>158</v>
      </c>
      <c r="C167" s="9" t="inlineStr">
        <is>
          <t>OZEL-158</t>
        </is>
      </c>
      <c r="D167" s="61" t="inlineStr">
        <is>
          <t>DN200, HDPE, DN200 EQUAL TEE, CORRUGATED/TRIPLEX TEE, HDPE, EN 13476, BELL &amp; SPINGOT</t>
        </is>
      </c>
      <c r="E167" s="60" t="n"/>
      <c r="F167" s="60" t="n"/>
      <c r="G167" s="91" t="n"/>
      <c r="H167" s="91" t="n"/>
      <c r="I167" s="91" t="n"/>
      <c r="J167" s="91" t="n"/>
      <c r="K167" s="91" t="n"/>
      <c r="L167" s="92">
        <f>IFERROR(AVERAGEIF(G167:K167,"&gt;0"),"-")</f>
        <v/>
      </c>
      <c r="M167" s="93" t="n"/>
      <c r="N167" s="93" t="n"/>
      <c r="O167" s="93" t="n"/>
      <c r="P167" s="93" t="n"/>
      <c r="Q167" s="93" t="n"/>
      <c r="R167" s="92">
        <f>IFERROR(MIN(G167:K167),"-")</f>
        <v/>
      </c>
      <c r="S167" s="9">
        <f>IFERROR(INDEX(M167:Q167,MATCH(MIN(G167:K167),G167:K167,0)),"-")</f>
        <v/>
      </c>
      <c r="T167" t="inlineStr">
        <is>
          <t>BORU</t>
        </is>
      </c>
    </row>
    <row r="168" ht="24" customHeight="1">
      <c r="A168" s="90" t="n">
        <v>159</v>
      </c>
      <c r="C168" s="9" t="inlineStr">
        <is>
          <t>OZEL-159</t>
        </is>
      </c>
      <c r="D168" s="61" t="inlineStr">
        <is>
          <t>DN200, HDPE, DN200 ELBOW 45, CORRUGATED/TRIPLEX, HDPE, EN 13476, BELL &amp; SPINGOT</t>
        </is>
      </c>
      <c r="E168" s="60" t="n"/>
      <c r="F168" s="60" t="n"/>
      <c r="G168" s="91" t="n"/>
      <c r="H168" s="91" t="n"/>
      <c r="I168" s="91" t="n"/>
      <c r="J168" s="91" t="n"/>
      <c r="K168" s="91" t="n"/>
      <c r="L168" s="92">
        <f>IFERROR(AVERAGEIF(G168:K168,"&gt;0"),"-")</f>
        <v/>
      </c>
      <c r="M168" s="93" t="n"/>
      <c r="N168" s="93" t="n"/>
      <c r="O168" s="93" t="n"/>
      <c r="P168" s="93" t="n"/>
      <c r="Q168" s="93" t="n"/>
      <c r="R168" s="92">
        <f>IFERROR(MIN(G168:K168),"-")</f>
        <v/>
      </c>
      <c r="S168" s="9">
        <f>IFERROR(INDEX(M168:Q168,MATCH(MIN(G168:K168),G168:K168,0)),"-")</f>
        <v/>
      </c>
      <c r="T168" t="inlineStr">
        <is>
          <t>BORU</t>
        </is>
      </c>
    </row>
    <row r="169" ht="24" customHeight="1">
      <c r="A169" s="90" t="n">
        <v>160</v>
      </c>
      <c r="C169" s="9" t="inlineStr">
        <is>
          <t>OZEL-160</t>
        </is>
      </c>
      <c r="D169" s="61" t="inlineStr">
        <is>
          <t>DN200, HDPE, DN200 ELBOW 90, CORRUGATED/TRIPLEX, HDPE, EN 13476, BELL &amp; SPINGOT</t>
        </is>
      </c>
      <c r="E169" s="60" t="n"/>
      <c r="F169" s="60" t="n"/>
      <c r="G169" s="91" t="n"/>
      <c r="H169" s="91" t="n"/>
      <c r="I169" s="91" t="n"/>
      <c r="J169" s="91" t="n"/>
      <c r="K169" s="91" t="n"/>
      <c r="L169" s="92">
        <f>IFERROR(AVERAGEIF(G169:K169,"&gt;0"),"-")</f>
        <v/>
      </c>
      <c r="M169" s="93" t="n"/>
      <c r="N169" s="93" t="n"/>
      <c r="O169" s="93" t="n"/>
      <c r="P169" s="93" t="n"/>
      <c r="Q169" s="93" t="n"/>
      <c r="R169" s="92">
        <f>IFERROR(MIN(G169:K169),"-")</f>
        <v/>
      </c>
      <c r="S169" s="9">
        <f>IFERROR(INDEX(M169:Q169,MATCH(MIN(G169:K169),G169:K169,0)),"-")</f>
        <v/>
      </c>
      <c r="T169" t="inlineStr">
        <is>
          <t>BORU</t>
        </is>
      </c>
    </row>
    <row r="170" ht="24" customHeight="1">
      <c r="A170" s="90" t="n">
        <v>161</v>
      </c>
      <c r="C170" s="9" t="inlineStr">
        <is>
          <t>OZEL-161</t>
        </is>
      </c>
      <c r="D170" s="61" t="inlineStr">
        <is>
          <t>DN25, HDPE, DN25 PIPE, CORRUGATED/TRIPLEX , HDPE, EN 13476, BELL &amp; SPINGOT</t>
        </is>
      </c>
      <c r="E170" s="60" t="n"/>
      <c r="F170" s="60" t="n"/>
      <c r="G170" s="91" t="n"/>
      <c r="H170" s="91" t="n"/>
      <c r="I170" s="91" t="n"/>
      <c r="J170" s="91" t="n"/>
      <c r="K170" s="91" t="n"/>
      <c r="L170" s="92">
        <f>IFERROR(AVERAGEIF(G170:K170,"&gt;0"),"-")</f>
        <v/>
      </c>
      <c r="M170" s="93" t="n"/>
      <c r="N170" s="93" t="n"/>
      <c r="O170" s="93" t="n"/>
      <c r="P170" s="93" t="n"/>
      <c r="Q170" s="93" t="n"/>
      <c r="R170" s="92">
        <f>IFERROR(MIN(G170:K170),"-")</f>
        <v/>
      </c>
      <c r="S170" s="9">
        <f>IFERROR(INDEX(M170:Q170,MATCH(MIN(G170:K170),G170:K170,0)),"-")</f>
        <v/>
      </c>
      <c r="T170" t="inlineStr">
        <is>
          <t>BORU</t>
        </is>
      </c>
    </row>
    <row r="171" ht="24" customHeight="1">
      <c r="A171" s="90" t="n">
        <v>162</v>
      </c>
      <c r="C171" s="9" t="inlineStr">
        <is>
          <t>OZEL-162</t>
        </is>
      </c>
      <c r="D171" s="61" t="inlineStr">
        <is>
          <t>DN50, HDPE, DN50 PIPE, CORRUGATED/TRIPLEX , HDPE, EN 13476, BELL &amp; SPINGOT</t>
        </is>
      </c>
      <c r="E171" s="60" t="n"/>
      <c r="F171" s="60" t="n"/>
      <c r="G171" s="91" t="n"/>
      <c r="H171" s="91" t="n"/>
      <c r="I171" s="91" t="n"/>
      <c r="J171" s="91" t="n"/>
      <c r="K171" s="91" t="n"/>
      <c r="L171" s="92">
        <f>IFERROR(AVERAGEIF(G171:K171,"&gt;0"),"-")</f>
        <v/>
      </c>
      <c r="M171" s="93" t="n"/>
      <c r="N171" s="93" t="n"/>
      <c r="O171" s="93" t="n"/>
      <c r="P171" s="93" t="n"/>
      <c r="Q171" s="93" t="n"/>
      <c r="R171" s="92">
        <f>IFERROR(MIN(G171:K171),"-")</f>
        <v/>
      </c>
      <c r="S171" s="9">
        <f>IFERROR(INDEX(M171:Q171,MATCH(MIN(G171:K171),G171:K171,0)),"-")</f>
        <v/>
      </c>
      <c r="T171" t="inlineStr">
        <is>
          <t>BORU</t>
        </is>
      </c>
    </row>
    <row r="172" ht="24" customHeight="1">
      <c r="A172" s="90" t="n">
        <v>163</v>
      </c>
      <c r="C172" s="9" t="inlineStr">
        <is>
          <t>OZEL-163</t>
        </is>
      </c>
      <c r="D172" s="61" t="inlineStr">
        <is>
          <t>DN75, HDPE, DN75 PIPE, CORRUGATED/TRIPLEX , HDPE, EN 13476, BELL &amp; SPINGOT</t>
        </is>
      </c>
      <c r="E172" s="60" t="n"/>
      <c r="F172" s="60" t="n"/>
      <c r="G172" s="91" t="n"/>
      <c r="H172" s="91" t="n"/>
      <c r="I172" s="91" t="n"/>
      <c r="J172" s="91" t="n"/>
      <c r="K172" s="91" t="n"/>
      <c r="L172" s="92">
        <f>IFERROR(AVERAGEIF(G172:K172,"&gt;0"),"-")</f>
        <v/>
      </c>
      <c r="M172" s="93" t="n"/>
      <c r="N172" s="93" t="n"/>
      <c r="O172" s="93" t="n"/>
      <c r="P172" s="93" t="n"/>
      <c r="Q172" s="93" t="n"/>
      <c r="R172" s="92">
        <f>IFERROR(MIN(G172:K172),"-")</f>
        <v/>
      </c>
      <c r="S172" s="9">
        <f>IFERROR(INDEX(M172:Q172,MATCH(MIN(G172:K172),G172:K172,0)),"-")</f>
        <v/>
      </c>
      <c r="T172" t="inlineStr">
        <is>
          <t>BORU</t>
        </is>
      </c>
    </row>
    <row r="173" ht="24" customHeight="1">
      <c r="A173" s="90" t="n">
        <v>164</v>
      </c>
      <c r="C173" s="9" t="inlineStr">
        <is>
          <t>OZEL-164</t>
        </is>
      </c>
      <c r="D173" s="61" t="inlineStr">
        <is>
          <t>DN110, HDPE, DN110 PIPE, CORRUGATED/TRIPLEX , HDPE, EN 13476, BELL &amp; SPINGOT</t>
        </is>
      </c>
      <c r="E173" s="60" t="n"/>
      <c r="F173" s="60" t="n"/>
      <c r="G173" s="91" t="n"/>
      <c r="H173" s="91" t="n"/>
      <c r="I173" s="91" t="n"/>
      <c r="J173" s="91" t="n"/>
      <c r="K173" s="91" t="n"/>
      <c r="L173" s="92">
        <f>IFERROR(AVERAGEIF(G173:K173,"&gt;0"),"-")</f>
        <v/>
      </c>
      <c r="M173" s="93" t="n"/>
      <c r="N173" s="93" t="n"/>
      <c r="O173" s="93" t="n"/>
      <c r="P173" s="93" t="n"/>
      <c r="Q173" s="93" t="n"/>
      <c r="R173" s="92">
        <f>IFERROR(MIN(G173:K173),"-")</f>
        <v/>
      </c>
      <c r="S173" s="9">
        <f>IFERROR(INDEX(M173:Q173,MATCH(MIN(G173:K173),G173:K173,0)),"-")</f>
        <v/>
      </c>
      <c r="T173" t="inlineStr">
        <is>
          <t>BORU</t>
        </is>
      </c>
    </row>
    <row r="174" ht="24" customHeight="1">
      <c r="A174" s="90" t="n">
        <v>165</v>
      </c>
      <c r="C174" s="9" t="inlineStr">
        <is>
          <t>OZEL-165</t>
        </is>
      </c>
      <c r="D174" s="61" t="inlineStr">
        <is>
          <t>DN150, HDPE, DN150 PIPE, CORRUGATED/TRIPLEX , HDPE, EN 13476, BELL &amp; SPINGOT</t>
        </is>
      </c>
      <c r="E174" s="60" t="n"/>
      <c r="F174" s="60" t="n"/>
      <c r="G174" s="91" t="n"/>
      <c r="H174" s="91" t="n"/>
      <c r="I174" s="91" t="n"/>
      <c r="J174" s="91" t="n"/>
      <c r="K174" s="91" t="n"/>
      <c r="L174" s="92">
        <f>IFERROR(AVERAGEIF(G174:K174,"&gt;0"),"-")</f>
        <v/>
      </c>
      <c r="M174" s="93" t="n"/>
      <c r="N174" s="93" t="n"/>
      <c r="O174" s="93" t="n"/>
      <c r="P174" s="93" t="n"/>
      <c r="Q174" s="93" t="n"/>
      <c r="R174" s="92">
        <f>IFERROR(MIN(G174:K174),"-")</f>
        <v/>
      </c>
      <c r="S174" s="9">
        <f>IFERROR(INDEX(M174:Q174,MATCH(MIN(G174:K174),G174:K174,0)),"-")</f>
        <v/>
      </c>
      <c r="T174" t="inlineStr">
        <is>
          <t>BORU</t>
        </is>
      </c>
    </row>
    <row r="175" ht="24" customHeight="1">
      <c r="A175" s="90" t="n">
        <v>166</v>
      </c>
      <c r="C175" s="9" t="inlineStr">
        <is>
          <t>OZEL-166</t>
        </is>
      </c>
      <c r="D175" s="61" t="inlineStr">
        <is>
          <t>Yangın Hidrantı, DN100, PN16 SFERO</t>
        </is>
      </c>
      <c r="E175" s="60" t="n"/>
      <c r="F175" s="60" t="n"/>
      <c r="G175" s="98" t="n">
        <v>24465</v>
      </c>
      <c r="H175" s="98" t="n">
        <v>13655</v>
      </c>
      <c r="I175" s="91" t="n"/>
      <c r="J175" s="91" t="n"/>
      <c r="K175" s="91" t="n"/>
      <c r="L175" s="92">
        <f>IFERROR(AVERAGEIF(G175:K175,"&gt;0"),"-")</f>
        <v/>
      </c>
      <c r="M175" s="93" t="inlineStr">
        <is>
          <t>AYVAZ</t>
        </is>
      </c>
      <c r="N175" s="93" t="inlineStr">
        <is>
          <t>CENKSAN</t>
        </is>
      </c>
      <c r="O175" s="93" t="n"/>
      <c r="P175" s="93" t="n"/>
      <c r="Q175" s="93" t="n"/>
      <c r="R175" s="92">
        <f>IFERROR(MIN(G175:K175),"-")</f>
        <v/>
      </c>
      <c r="S175" s="9">
        <f>IFERROR(INDEX(M175:Q175,MATCH(MIN(G175:K175),G175:K175,0)),"-")</f>
        <v/>
      </c>
      <c r="T175" t="inlineStr">
        <is>
          <t>VANA</t>
        </is>
      </c>
    </row>
    <row r="176" ht="24" customHeight="1">
      <c r="A176" s="90" t="n">
        <v>167</v>
      </c>
      <c r="C176" s="9" t="inlineStr">
        <is>
          <t>OZEL-167</t>
        </is>
      </c>
      <c r="D176" s="61" t="inlineStr">
        <is>
          <t>NRS G</t>
        </is>
      </c>
      <c r="E176" s="60" t="n"/>
      <c r="F176" s="60" t="n"/>
      <c r="G176" s="97" t="n">
        <v>273</v>
      </c>
      <c r="H176" s="98" t="n">
        <v>12825</v>
      </c>
      <c r="I176" s="91" t="n"/>
      <c r="J176" s="91" t="n"/>
      <c r="K176" s="91" t="n"/>
      <c r="L176" s="92">
        <f>IFERROR(AVERAGEIF(G176:K176,"&gt;0"),"-")</f>
        <v/>
      </c>
      <c r="M176" s="93" t="inlineStr">
        <is>
          <t>AYVAZ</t>
        </is>
      </c>
      <c r="N176" s="93" t="inlineStr">
        <is>
          <t>CENKSAN</t>
        </is>
      </c>
      <c r="O176" s="93" t="n"/>
      <c r="P176" s="93" t="n"/>
      <c r="Q176" s="93" t="n"/>
      <c r="R176" s="92">
        <f>IFERROR(MIN(G176:K176),"-")</f>
        <v/>
      </c>
      <c r="S176" s="9">
        <f>IFERROR(INDEX(M176:Q176,MATCH(MIN(G176:K176),G176:K176,0)),"-")</f>
        <v/>
      </c>
      <c r="T176" t="inlineStr">
        <is>
          <t>VANA</t>
        </is>
      </c>
    </row>
    <row r="177" ht="24" customHeight="1">
      <c r="A177" s="90" t="n">
        <v>168</v>
      </c>
      <c r="C177" s="9" t="inlineStr">
        <is>
          <t>OZEL-168</t>
        </is>
      </c>
      <c r="D177" s="61" t="n"/>
      <c r="E177" s="60" t="n"/>
      <c r="F177" s="60" t="n"/>
      <c r="G177" s="91" t="n"/>
      <c r="H177" s="91" t="n"/>
      <c r="I177" s="91" t="n"/>
      <c r="J177" s="91" t="n"/>
      <c r="K177" s="91" t="n"/>
      <c r="L177" s="92">
        <f>IFERROR(AVERAGEIF(G177:K177,"&gt;0"),"-")</f>
        <v/>
      </c>
      <c r="M177" s="93" t="n"/>
      <c r="N177" s="93" t="n"/>
      <c r="O177" s="93" t="n"/>
      <c r="P177" s="93" t="n"/>
      <c r="Q177" s="93" t="n"/>
      <c r="R177" s="92">
        <f>IFERROR(MIN(G177:K177),"-")</f>
        <v/>
      </c>
      <c r="S177" s="9">
        <f>IFERROR(INDEX(M177:Q177,MATCH(MIN(G177:K177),G177:K177,0)),"-")</f>
        <v/>
      </c>
      <c r="T177" t="inlineStr"/>
    </row>
    <row r="178" ht="24" customHeight="1">
      <c r="A178" s="90" t="n">
        <v>169</v>
      </c>
      <c r="C178" s="9" t="inlineStr">
        <is>
          <t>OZEL-169</t>
        </is>
      </c>
      <c r="D178" s="61" t="n"/>
      <c r="E178" s="60" t="n"/>
      <c r="F178" s="60" t="n"/>
      <c r="G178" s="91" t="n"/>
      <c r="H178" s="91" t="n"/>
      <c r="I178" s="91" t="n"/>
      <c r="J178" s="91" t="n"/>
      <c r="K178" s="91" t="n"/>
      <c r="L178" s="92">
        <f>IFERROR(AVERAGEIF(G178:K178,"&gt;0"),"-")</f>
        <v/>
      </c>
      <c r="M178" s="93" t="n"/>
      <c r="N178" s="93" t="n"/>
      <c r="O178" s="93" t="n"/>
      <c r="P178" s="93" t="n"/>
      <c r="Q178" s="93" t="n"/>
      <c r="R178" s="92">
        <f>IFERROR(MIN(G178:K178),"-")</f>
        <v/>
      </c>
      <c r="S178" s="9">
        <f>IFERROR(INDEX(M178:Q178,MATCH(MIN(G178:K178),G178:K178,0)),"-")</f>
        <v/>
      </c>
      <c r="T178" t="inlineStr"/>
    </row>
    <row r="179" ht="24" customHeight="1">
      <c r="A179" s="90" t="n">
        <v>170</v>
      </c>
      <c r="C179" s="9" t="inlineStr">
        <is>
          <t>OZEL-170</t>
        </is>
      </c>
      <c r="D179" s="61" t="n"/>
      <c r="E179" s="60" t="n"/>
      <c r="F179" s="60" t="n"/>
      <c r="G179" s="91" t="n"/>
      <c r="H179" s="91" t="n"/>
      <c r="I179" s="91" t="n"/>
      <c r="J179" s="91" t="n"/>
      <c r="K179" s="91" t="n"/>
      <c r="L179" s="92">
        <f>IFERROR(AVERAGEIF(G179:K179,"&gt;0"),"-")</f>
        <v/>
      </c>
      <c r="M179" s="93" t="n"/>
      <c r="N179" s="93" t="n"/>
      <c r="O179" s="93" t="n"/>
      <c r="P179" s="93" t="n"/>
      <c r="Q179" s="93" t="n"/>
      <c r="R179" s="92">
        <f>IFERROR(MIN(G179:K179),"-")</f>
        <v/>
      </c>
      <c r="S179" s="9">
        <f>IFERROR(INDEX(M179:Q179,MATCH(MIN(G179:K179),G179:K179,0)),"-")</f>
        <v/>
      </c>
      <c r="T179" t="inlineStr"/>
    </row>
    <row r="180" ht="24" customHeight="1">
      <c r="A180" s="90" t="n">
        <v>171</v>
      </c>
      <c r="C180" s="9" t="inlineStr">
        <is>
          <t>OZEL-171</t>
        </is>
      </c>
      <c r="D180" s="61" t="n"/>
      <c r="E180" s="60" t="n"/>
      <c r="F180" s="60" t="n"/>
      <c r="G180" s="91" t="n"/>
      <c r="H180" s="91" t="n"/>
      <c r="I180" s="91" t="n"/>
      <c r="J180" s="91" t="n"/>
      <c r="K180" s="91" t="n"/>
      <c r="L180" s="92">
        <f>IFERROR(AVERAGEIF(G180:K180,"&gt;0"),"-")</f>
        <v/>
      </c>
      <c r="M180" s="93" t="n"/>
      <c r="N180" s="93" t="n"/>
      <c r="O180" s="93" t="n"/>
      <c r="P180" s="93" t="n"/>
      <c r="Q180" s="93" t="n"/>
      <c r="R180" s="92">
        <f>IFERROR(MIN(G180:K180),"-")</f>
        <v/>
      </c>
      <c r="S180" s="9">
        <f>IFERROR(INDEX(M180:Q180,MATCH(MIN(G180:K180),G180:K180,0)),"-")</f>
        <v/>
      </c>
      <c r="T180" t="inlineStr"/>
    </row>
    <row r="181" ht="24" customHeight="1">
      <c r="A181" s="90" t="n"/>
      <c r="C181" s="9" t="inlineStr">
        <is>
          <t>OZEL-172</t>
        </is>
      </c>
      <c r="D181" s="21" t="n"/>
      <c r="E181" s="60" t="n"/>
      <c r="F181" s="60" t="n"/>
      <c r="G181" s="91" t="n"/>
      <c r="H181" s="91" t="n"/>
      <c r="I181" s="91" t="n"/>
      <c r="J181" s="91" t="n"/>
      <c r="K181" s="91" t="n"/>
      <c r="L181" s="92" t="n"/>
      <c r="M181" s="93" t="n"/>
      <c r="N181" s="93" t="n"/>
      <c r="O181" s="93" t="n"/>
      <c r="P181" s="93" t="n"/>
      <c r="Q181" s="93" t="n"/>
      <c r="R181" s="92" t="n"/>
      <c r="S181" s="9">
        <f>IFERROR(INDEX(M181:Q181,MATCH(MIN(G181:K181),G181:K181,0)),"-")</f>
        <v/>
      </c>
      <c r="T181" t="inlineStr"/>
    </row>
    <row r="182" ht="24" customHeight="1">
      <c r="A182" s="90" t="n"/>
      <c r="C182" s="9" t="inlineStr">
        <is>
          <t>OZEL-173</t>
        </is>
      </c>
      <c r="D182" s="21" t="n"/>
      <c r="E182" s="60" t="n"/>
      <c r="F182" s="60" t="n"/>
      <c r="G182" s="91" t="n"/>
      <c r="H182" s="91" t="n"/>
      <c r="I182" s="91" t="n"/>
      <c r="J182" s="91" t="n"/>
      <c r="K182" s="91" t="n"/>
      <c r="L182" s="92" t="n"/>
      <c r="M182" s="93" t="n"/>
      <c r="N182" s="93" t="n"/>
      <c r="O182" s="93" t="n"/>
      <c r="P182" s="93" t="n"/>
      <c r="Q182" s="93" t="n"/>
      <c r="R182" s="92" t="n"/>
      <c r="S182" s="9">
        <f>IFERROR(INDEX(M182:Q182,MATCH(MIN(G182:K182),G182:K182,0)),"-")</f>
        <v/>
      </c>
      <c r="T182" t="inlineStr"/>
    </row>
    <row r="183" ht="24" customHeight="1">
      <c r="A183" s="90" t="n"/>
      <c r="C183" s="9" t="inlineStr">
        <is>
          <t>OZEL-174</t>
        </is>
      </c>
      <c r="D183" s="21" t="n"/>
      <c r="E183" s="60" t="n"/>
      <c r="F183" s="60" t="n"/>
      <c r="G183" s="91" t="n"/>
      <c r="H183" s="91" t="n"/>
      <c r="I183" s="91" t="n"/>
      <c r="J183" s="91" t="n"/>
      <c r="K183" s="91" t="n"/>
      <c r="L183" s="92" t="n"/>
      <c r="M183" s="93" t="n"/>
      <c r="N183" s="93" t="n"/>
      <c r="O183" s="93" t="n"/>
      <c r="P183" s="93" t="n"/>
      <c r="Q183" s="93" t="n"/>
      <c r="R183" s="92" t="n"/>
      <c r="S183" s="9">
        <f>IFERROR(INDEX(M183:Q183,MATCH(MIN(G183:K183),G183:K183,0)),"-")</f>
        <v/>
      </c>
      <c r="T183" t="inlineStr"/>
    </row>
    <row r="184" ht="24" customHeight="1">
      <c r="A184" s="90" t="n"/>
      <c r="C184" s="9" t="inlineStr">
        <is>
          <t>OZEL-175</t>
        </is>
      </c>
      <c r="D184" s="21" t="n"/>
      <c r="E184" s="60" t="n"/>
      <c r="F184" s="60" t="n"/>
      <c r="G184" s="91" t="n"/>
      <c r="H184" s="91" t="n"/>
      <c r="I184" s="91" t="n"/>
      <c r="J184" s="91" t="n"/>
      <c r="K184" s="91" t="n"/>
      <c r="L184" s="92" t="n"/>
      <c r="M184" s="93" t="n"/>
      <c r="N184" s="93" t="n"/>
      <c r="O184" s="93" t="n"/>
      <c r="P184" s="93" t="n"/>
      <c r="Q184" s="93" t="n"/>
      <c r="R184" s="92" t="n"/>
      <c r="S184" s="9">
        <f>IFERROR(INDEX(M184:Q184,MATCH(MIN(G184:K184),G184:K184,0)),"-")</f>
        <v/>
      </c>
      <c r="T184" t="inlineStr"/>
    </row>
    <row r="185" ht="24" customHeight="1">
      <c r="A185" s="90" t="n"/>
      <c r="C185" s="9" t="inlineStr">
        <is>
          <t>OZEL-176</t>
        </is>
      </c>
      <c r="D185" s="21" t="n"/>
      <c r="E185" s="60" t="n"/>
      <c r="F185" s="60" t="n"/>
      <c r="G185" s="91" t="n"/>
      <c r="H185" s="91" t="n"/>
      <c r="I185" s="91" t="n"/>
      <c r="J185" s="91" t="n"/>
      <c r="K185" s="91" t="n"/>
      <c r="L185" s="92" t="n"/>
      <c r="M185" s="93" t="n"/>
      <c r="N185" s="93" t="n"/>
      <c r="O185" s="93" t="n"/>
      <c r="P185" s="93" t="n"/>
      <c r="Q185" s="93" t="n"/>
      <c r="R185" s="92" t="n"/>
      <c r="S185" s="9">
        <f>IFERROR(INDEX(M185:Q185,MATCH(MIN(G185:K185),G185:K185,0)),"-")</f>
        <v/>
      </c>
      <c r="T185" t="inlineStr"/>
    </row>
    <row r="186" ht="24" customHeight="1">
      <c r="A186" s="90" t="n"/>
      <c r="C186" s="9" t="inlineStr">
        <is>
          <t>OZEL-177</t>
        </is>
      </c>
      <c r="D186" s="21" t="n"/>
      <c r="E186" s="60" t="n"/>
      <c r="F186" s="60" t="n"/>
      <c r="G186" s="91" t="n"/>
      <c r="H186" s="91" t="n"/>
      <c r="I186" s="91" t="n"/>
      <c r="J186" s="91" t="n"/>
      <c r="K186" s="91" t="n"/>
      <c r="L186" s="92" t="n"/>
      <c r="M186" s="93" t="n"/>
      <c r="N186" s="93" t="n"/>
      <c r="O186" s="93" t="n"/>
      <c r="P186" s="93" t="n"/>
      <c r="Q186" s="93" t="n"/>
      <c r="R186" s="92" t="n"/>
      <c r="S186" s="9">
        <f>IFERROR(INDEX(M186:Q186,MATCH(MIN(G186:K186),G186:K186,0)),"-")</f>
        <v/>
      </c>
      <c r="T186" t="inlineStr"/>
    </row>
    <row r="187" ht="24" customHeight="1">
      <c r="A187" s="90" t="n"/>
      <c r="C187" s="9" t="inlineStr">
        <is>
          <t>OZEL-178</t>
        </is>
      </c>
      <c r="D187" s="21" t="n"/>
      <c r="E187" s="60" t="n"/>
      <c r="F187" s="60" t="n"/>
      <c r="G187" s="91" t="n"/>
      <c r="H187" s="91" t="n"/>
      <c r="I187" s="91" t="n"/>
      <c r="J187" s="91" t="n"/>
      <c r="K187" s="91" t="n"/>
      <c r="L187" s="92" t="n"/>
      <c r="M187" s="93" t="n"/>
      <c r="N187" s="93" t="n"/>
      <c r="O187" s="93" t="n"/>
      <c r="P187" s="93" t="n"/>
      <c r="Q187" s="93" t="n"/>
      <c r="R187" s="92" t="n"/>
      <c r="S187" s="9">
        <f>IFERROR(INDEX(M187:Q187,MATCH(MIN(G187:K187),G187:K187,0)),"-")</f>
        <v/>
      </c>
      <c r="T187" t="inlineStr"/>
    </row>
    <row r="188" ht="24" customHeight="1">
      <c r="A188" s="90" t="n"/>
      <c r="C188" s="9" t="inlineStr">
        <is>
          <t>OZEL-179</t>
        </is>
      </c>
      <c r="D188" s="21" t="n"/>
      <c r="E188" s="60" t="n"/>
      <c r="F188" s="60" t="n"/>
      <c r="G188" s="91" t="n"/>
      <c r="H188" s="91" t="n"/>
      <c r="I188" s="91" t="n"/>
      <c r="J188" s="91" t="n"/>
      <c r="K188" s="91" t="n"/>
      <c r="L188" s="92" t="n"/>
      <c r="M188" s="93" t="n"/>
      <c r="N188" s="93" t="n"/>
      <c r="O188" s="93" t="n"/>
      <c r="P188" s="93" t="n"/>
      <c r="Q188" s="93" t="n"/>
      <c r="R188" s="92" t="n"/>
      <c r="S188" s="9">
        <f>IFERROR(INDEX(M188:Q188,MATCH(MIN(G188:K188),G188:K188,0)),"-")</f>
        <v/>
      </c>
      <c r="T188" t="inlineStr"/>
    </row>
    <row r="189" ht="24" customHeight="1">
      <c r="A189" s="90" t="n"/>
      <c r="C189" s="9" t="inlineStr">
        <is>
          <t>OZEL-180</t>
        </is>
      </c>
      <c r="D189" s="21" t="n"/>
      <c r="E189" s="60" t="n"/>
      <c r="F189" s="60" t="n"/>
      <c r="G189" s="91" t="n"/>
      <c r="H189" s="91" t="n"/>
      <c r="I189" s="91" t="n"/>
      <c r="J189" s="91" t="n"/>
      <c r="K189" s="91" t="n"/>
      <c r="L189" s="92" t="n"/>
      <c r="M189" s="93" t="n"/>
      <c r="N189" s="93" t="n"/>
      <c r="O189" s="93" t="n"/>
      <c r="P189" s="93" t="n"/>
      <c r="Q189" s="93" t="n"/>
      <c r="R189" s="92" t="n"/>
      <c r="S189" s="9">
        <f>IFERROR(INDEX(M189:Q189,MATCH(MIN(G189:K189),G189:K189,0)),"-")</f>
        <v/>
      </c>
      <c r="T189" t="inlineStr"/>
    </row>
    <row r="190" ht="24" customHeight="1">
      <c r="A190" s="90" t="n">
        <v>172</v>
      </c>
      <c r="C190" s="9" t="inlineStr">
        <is>
          <t>OZEL-181</t>
        </is>
      </c>
      <c r="D190" s="21" t="n"/>
      <c r="E190" s="60" t="n"/>
      <c r="F190" s="60" t="n"/>
      <c r="G190" s="91" t="n"/>
      <c r="H190" s="91" t="n"/>
      <c r="I190" s="91" t="n"/>
      <c r="J190" s="91" t="n"/>
      <c r="K190" s="91" t="n"/>
      <c r="L190" s="92">
        <f>IFERROR(AVERAGEIF(G190:K190,"&gt;0"),"-")</f>
        <v/>
      </c>
      <c r="M190" s="93" t="n"/>
      <c r="N190" s="93" t="n"/>
      <c r="O190" s="93" t="n"/>
      <c r="P190" s="93" t="n"/>
      <c r="Q190" s="93" t="n"/>
      <c r="R190" s="92">
        <f>IFERROR(MIN(G190:K190),"-")</f>
        <v/>
      </c>
      <c r="S190" s="9">
        <f>IFERROR(INDEX(M190:Q190,MATCH(MIN(G190:K190),G190:K190,0)),"-")</f>
        <v/>
      </c>
      <c r="T190" t="inlineStr"/>
    </row>
    <row r="191" ht="24" customHeight="1">
      <c r="A191" s="90" t="n">
        <v>172</v>
      </c>
      <c r="C191" s="9" t="inlineStr">
        <is>
          <t>OZEL-182</t>
        </is>
      </c>
      <c r="D191" s="21" t="n"/>
      <c r="E191" s="60" t="n"/>
      <c r="F191" s="60" t="n"/>
      <c r="G191" s="91" t="n"/>
      <c r="H191" s="91" t="n"/>
      <c r="I191" s="91" t="n"/>
      <c r="J191" s="91" t="n"/>
      <c r="K191" s="91" t="n"/>
      <c r="L191" s="92">
        <f>IFERROR(AVERAGEIF(G191:K191,"&gt;0"),"-")</f>
        <v/>
      </c>
      <c r="M191" s="93" t="n"/>
      <c r="N191" s="93" t="n"/>
      <c r="O191" s="93" t="n"/>
      <c r="P191" s="93" t="n"/>
      <c r="Q191" s="93" t="n"/>
      <c r="R191" s="92">
        <f>IFERROR(MIN(G191:K191),"-")</f>
        <v/>
      </c>
      <c r="S191" s="9">
        <f>IFERROR(INDEX(M191:Q191,MATCH(MIN(G191:K191),G191:K191,0)),"-")</f>
        <v/>
      </c>
      <c r="T191" t="inlineStr"/>
    </row>
    <row r="192" ht="24" customHeight="1">
      <c r="A192" s="90" t="n">
        <v>173</v>
      </c>
      <c r="C192" s="9" t="inlineStr">
        <is>
          <t>OZEL-183</t>
        </is>
      </c>
      <c r="D192" s="21" t="n"/>
      <c r="E192" s="60" t="n"/>
      <c r="F192" s="60" t="n"/>
      <c r="G192" s="91" t="n"/>
      <c r="H192" s="91" t="n"/>
      <c r="I192" s="91" t="n"/>
      <c r="J192" s="91" t="n"/>
      <c r="K192" s="91" t="n"/>
      <c r="L192" s="92">
        <f>IFERROR(AVERAGEIF(G192:K192,"&gt;0"),"-")</f>
        <v/>
      </c>
      <c r="M192" s="93" t="n"/>
      <c r="N192" s="93" t="n"/>
      <c r="O192" s="93" t="n"/>
      <c r="P192" s="93" t="n"/>
      <c r="Q192" s="93" t="n"/>
      <c r="R192" s="92">
        <f>IFERROR(MIN(G192:K192),"-")</f>
        <v/>
      </c>
      <c r="S192" s="9">
        <f>IFERROR(INDEX(M192:Q192,MATCH(MIN(G192:K192),G192:K192,0)),"-")</f>
        <v/>
      </c>
      <c r="T192" t="inlineStr"/>
    </row>
    <row r="193" ht="24" customHeight="1">
      <c r="A193" s="90" t="n">
        <v>174</v>
      </c>
      <c r="C193" s="9" t="inlineStr">
        <is>
          <t>OZEL-184</t>
        </is>
      </c>
      <c r="D193" s="21" t="n"/>
      <c r="E193" s="60" t="n"/>
      <c r="F193" s="60" t="n"/>
      <c r="G193" s="91" t="n"/>
      <c r="H193" s="91" t="n"/>
      <c r="I193" s="91" t="n"/>
      <c r="J193" s="91" t="n"/>
      <c r="K193" s="91" t="n"/>
      <c r="L193" s="92">
        <f>IFERROR(AVERAGEIF(G193:K193,"&gt;0"),"-")</f>
        <v/>
      </c>
      <c r="M193" s="93" t="n"/>
      <c r="N193" s="93" t="n"/>
      <c r="O193" s="93" t="n"/>
      <c r="P193" s="93" t="n"/>
      <c r="Q193" s="93" t="n"/>
      <c r="R193" s="92">
        <f>IFERROR(MIN(G193:K193),"-")</f>
        <v/>
      </c>
      <c r="S193" s="9">
        <f>IFERROR(INDEX(M193:Q193,MATCH(MIN(G193:K193),G193:K193,0)),"-")</f>
        <v/>
      </c>
      <c r="T193" t="inlineStr"/>
    </row>
    <row r="194" ht="24" customHeight="1">
      <c r="A194" s="90" t="n">
        <v>175</v>
      </c>
      <c r="C194" s="9" t="inlineStr">
        <is>
          <t>OZEL-185</t>
        </is>
      </c>
      <c r="D194" s="21" t="n"/>
      <c r="E194" s="60" t="n"/>
      <c r="F194" s="60" t="n"/>
      <c r="G194" s="91" t="n"/>
      <c r="H194" s="91" t="n"/>
      <c r="I194" s="91" t="n"/>
      <c r="J194" s="91" t="n"/>
      <c r="K194" s="91" t="n"/>
      <c r="L194" s="92">
        <f>IFERROR(AVERAGEIF(G194:K194,"&gt;0"),"-")</f>
        <v/>
      </c>
      <c r="M194" s="93" t="n"/>
      <c r="N194" s="93" t="n"/>
      <c r="O194" s="93" t="n"/>
      <c r="P194" s="93" t="n"/>
      <c r="Q194" s="93" t="n"/>
      <c r="R194" s="92">
        <f>IFERROR(MIN(G194:K194),"-")</f>
        <v/>
      </c>
      <c r="S194" s="9">
        <f>IFERROR(INDEX(M194:Q194,MATCH(MIN(G194:K194),G194:K194,0)),"-")</f>
        <v/>
      </c>
      <c r="T194" t="inlineStr"/>
    </row>
    <row r="195" ht="24" customHeight="1">
      <c r="A195" s="90" t="n">
        <v>176</v>
      </c>
      <c r="C195" s="9" t="inlineStr">
        <is>
          <t>OZEL-186</t>
        </is>
      </c>
      <c r="D195" s="21" t="n"/>
      <c r="E195" s="60" t="n"/>
      <c r="F195" s="60" t="n"/>
      <c r="G195" s="91" t="n"/>
      <c r="H195" s="91" t="n"/>
      <c r="I195" s="91" t="n"/>
      <c r="J195" s="91" t="n"/>
      <c r="K195" s="91" t="n"/>
      <c r="L195" s="92">
        <f>IFERROR(AVERAGEIF(G195:K195,"&gt;0"),"-")</f>
        <v/>
      </c>
      <c r="M195" s="93" t="n"/>
      <c r="N195" s="93" t="n"/>
      <c r="O195" s="93" t="n"/>
      <c r="P195" s="93" t="n"/>
      <c r="Q195" s="93" t="n"/>
      <c r="R195" s="92">
        <f>IFERROR(MIN(G195:K195),"-")</f>
        <v/>
      </c>
      <c r="S195" s="9">
        <f>IFERROR(INDEX(M195:Q195,MATCH(MIN(G195:K195),G195:K195,0)),"-")</f>
        <v/>
      </c>
      <c r="T195" t="inlineStr"/>
    </row>
    <row r="196" ht="24" customHeight="1">
      <c r="A196" s="90" t="n">
        <v>177</v>
      </c>
      <c r="C196" s="9" t="inlineStr">
        <is>
          <t>OZEL-187</t>
        </is>
      </c>
      <c r="D196" s="21" t="n"/>
      <c r="E196" s="60" t="n"/>
      <c r="F196" s="60" t="n"/>
      <c r="G196" s="91" t="n"/>
      <c r="H196" s="91" t="n"/>
      <c r="I196" s="91" t="n"/>
      <c r="J196" s="91" t="n"/>
      <c r="K196" s="91" t="n"/>
      <c r="L196" s="92">
        <f>IFERROR(AVERAGEIF(G196:K196,"&gt;0"),"-")</f>
        <v/>
      </c>
      <c r="M196" s="93" t="n"/>
      <c r="N196" s="93" t="n"/>
      <c r="O196" s="93" t="n"/>
      <c r="P196" s="93" t="n"/>
      <c r="Q196" s="93" t="n"/>
      <c r="R196" s="92">
        <f>IFERROR(MIN(G196:K196),"-")</f>
        <v/>
      </c>
      <c r="S196" s="9">
        <f>IFERROR(INDEX(M196:Q196,MATCH(MIN(G196:K196),G196:K196,0)),"-")</f>
        <v/>
      </c>
      <c r="T196" t="inlineStr"/>
    </row>
    <row r="197" ht="24" customHeight="1">
      <c r="A197" s="90" t="n">
        <v>178</v>
      </c>
      <c r="C197" s="9" t="inlineStr">
        <is>
          <t>OZEL-188</t>
        </is>
      </c>
      <c r="D197" s="61" t="n"/>
      <c r="E197" s="60" t="n"/>
      <c r="F197" s="60" t="n"/>
      <c r="G197" s="91" t="n"/>
      <c r="H197" s="91" t="n"/>
      <c r="I197" s="91" t="n"/>
      <c r="J197" s="91" t="n"/>
      <c r="K197" s="91" t="n"/>
      <c r="L197" s="92">
        <f>IFERROR(AVERAGEIF(G197:K197,"&gt;0"),"-")</f>
        <v/>
      </c>
      <c r="M197" s="93" t="n"/>
      <c r="N197" s="93" t="n"/>
      <c r="O197" s="93" t="n"/>
      <c r="P197" s="93" t="n"/>
      <c r="Q197" s="93" t="n"/>
      <c r="R197" s="92">
        <f>IFERROR(MIN(G197:K197),"-")</f>
        <v/>
      </c>
      <c r="S197" s="9">
        <f>IFERROR(INDEX(M197:Q197,MATCH(MIN(G197:K197),G197:K197,0)),"-")</f>
        <v/>
      </c>
      <c r="T197" t="inlineStr"/>
    </row>
    <row r="198" ht="24" customHeight="1">
      <c r="A198" s="90" t="n">
        <v>179</v>
      </c>
      <c r="C198" s="9" t="inlineStr">
        <is>
          <t>OZEL-189</t>
        </is>
      </c>
      <c r="D198" s="61" t="n"/>
      <c r="E198" s="60" t="n"/>
      <c r="F198" s="60" t="n"/>
      <c r="G198" s="91" t="n"/>
      <c r="H198" s="91" t="n"/>
      <c r="I198" s="91" t="n"/>
      <c r="J198" s="91" t="n"/>
      <c r="K198" s="91" t="n"/>
      <c r="L198" s="92">
        <f>IFERROR(AVERAGEIF(G198:K198,"&gt;0"),"-")</f>
        <v/>
      </c>
      <c r="M198" s="93" t="n"/>
      <c r="N198" s="93" t="n"/>
      <c r="O198" s="93" t="n"/>
      <c r="P198" s="93" t="n"/>
      <c r="Q198" s="93" t="n"/>
      <c r="R198" s="92">
        <f>IFERROR(MIN(G198:K198),"-")</f>
        <v/>
      </c>
      <c r="S198" s="9">
        <f>IFERROR(INDEX(M198:Q198,MATCH(MIN(G198:K198),G198:K198,0)),"-")</f>
        <v/>
      </c>
      <c r="T198" t="inlineStr"/>
    </row>
    <row r="199" ht="24" customHeight="1">
      <c r="A199" s="90" t="n">
        <v>180</v>
      </c>
      <c r="C199" s="9" t="inlineStr">
        <is>
          <t>OZEL-190</t>
        </is>
      </c>
      <c r="D199" s="61" t="n"/>
      <c r="E199" s="60" t="n"/>
      <c r="F199" s="60" t="n"/>
      <c r="G199" s="91" t="n"/>
      <c r="H199" s="91" t="n"/>
      <c r="I199" s="91" t="n"/>
      <c r="J199" s="91" t="n"/>
      <c r="K199" s="91" t="n"/>
      <c r="L199" s="92">
        <f>IFERROR(AVERAGEIF(G199:K199,"&gt;0"),"-")</f>
        <v/>
      </c>
      <c r="M199" s="93" t="n"/>
      <c r="N199" s="93" t="n"/>
      <c r="O199" s="93" t="n"/>
      <c r="P199" s="93" t="n"/>
      <c r="Q199" s="93" t="n"/>
      <c r="R199" s="92">
        <f>IFERROR(MIN(G199:K199),"-")</f>
        <v/>
      </c>
      <c r="S199" s="9">
        <f>IFERROR(INDEX(M199:Q199,MATCH(MIN(G199:K199),G199:K199,0)),"-")</f>
        <v/>
      </c>
      <c r="T199" t="inlineStr"/>
    </row>
    <row r="200" ht="24" customHeight="1">
      <c r="A200" s="90" t="n">
        <v>181</v>
      </c>
      <c r="C200" s="9" t="inlineStr">
        <is>
          <t>OZEL-191</t>
        </is>
      </c>
      <c r="D200" s="61" t="n"/>
      <c r="E200" s="60" t="n"/>
      <c r="F200" s="60" t="n"/>
      <c r="G200" s="91" t="n"/>
      <c r="H200" s="91" t="n"/>
      <c r="I200" s="91" t="n"/>
      <c r="J200" s="91" t="n"/>
      <c r="K200" s="91" t="n"/>
      <c r="L200" s="92">
        <f>IFERROR(AVERAGEIF(G200:K200,"&gt;0"),"-")</f>
        <v/>
      </c>
      <c r="M200" s="93" t="n"/>
      <c r="N200" s="93" t="n"/>
      <c r="O200" s="93" t="n"/>
      <c r="P200" s="93" t="n"/>
      <c r="Q200" s="93" t="n"/>
      <c r="R200" s="92">
        <f>IFERROR(MIN(G200:K200),"-")</f>
        <v/>
      </c>
      <c r="S200" s="9">
        <f>IFERROR(INDEX(M200:Q200,MATCH(MIN(G200:K200),G200:K200,0)),"-")</f>
        <v/>
      </c>
      <c r="T200" t="inlineStr"/>
    </row>
    <row r="201" ht="24" customHeight="1">
      <c r="A201" s="90" t="n">
        <v>182</v>
      </c>
      <c r="C201" s="9" t="inlineStr">
        <is>
          <t>OZEL-192</t>
        </is>
      </c>
      <c r="D201" s="61" t="n"/>
      <c r="E201" s="60" t="n"/>
      <c r="F201" s="60" t="n"/>
      <c r="G201" s="91" t="n"/>
      <c r="H201" s="91" t="n"/>
      <c r="I201" s="91" t="n"/>
      <c r="J201" s="91" t="n"/>
      <c r="K201" s="91" t="n"/>
      <c r="L201" s="92">
        <f>IFERROR(AVERAGEIF(G201:K201,"&gt;0"),"-")</f>
        <v/>
      </c>
      <c r="M201" s="93" t="n"/>
      <c r="N201" s="93" t="n"/>
      <c r="O201" s="93" t="n"/>
      <c r="P201" s="93" t="n"/>
      <c r="Q201" s="93" t="n"/>
      <c r="R201" s="92">
        <f>IFERROR(MIN(G201:K201),"-")</f>
        <v/>
      </c>
      <c r="S201" s="9">
        <f>IFERROR(INDEX(M201:Q201,MATCH(MIN(G201:K201),G201:K201,0)),"-")</f>
        <v/>
      </c>
      <c r="T201" t="inlineStr"/>
    </row>
    <row r="202" ht="24" customHeight="1">
      <c r="A202" s="90" t="n">
        <v>183</v>
      </c>
      <c r="C202" s="9" t="inlineStr">
        <is>
          <t>OZEL-193</t>
        </is>
      </c>
      <c r="D202" s="61" t="n"/>
      <c r="E202" s="60" t="n"/>
      <c r="F202" s="60" t="n"/>
      <c r="G202" s="91" t="n"/>
      <c r="H202" s="91" t="n"/>
      <c r="I202" s="91" t="n"/>
      <c r="J202" s="91" t="n"/>
      <c r="K202" s="91" t="n"/>
      <c r="L202" s="92">
        <f>IFERROR(AVERAGEIF(G202:K202,"&gt;0"),"-")</f>
        <v/>
      </c>
      <c r="M202" s="93" t="n"/>
      <c r="N202" s="93" t="n"/>
      <c r="O202" s="93" t="n"/>
      <c r="P202" s="93" t="n"/>
      <c r="Q202" s="93" t="n"/>
      <c r="R202" s="92">
        <f>IFERROR(MIN(G202:K202),"-")</f>
        <v/>
      </c>
      <c r="S202" s="9">
        <f>IFERROR(INDEX(M202:Q202,MATCH(MIN(G202:K202),G202:K202,0)),"-")</f>
        <v/>
      </c>
      <c r="T202" t="inlineStr"/>
    </row>
    <row r="203" ht="24" customHeight="1">
      <c r="A203" s="90" t="n">
        <v>184</v>
      </c>
      <c r="C203" s="9" t="inlineStr">
        <is>
          <t>OZEL-194</t>
        </is>
      </c>
      <c r="D203" s="61" t="n"/>
      <c r="E203" s="60" t="n"/>
      <c r="F203" s="60" t="n"/>
      <c r="G203" s="91" t="n"/>
      <c r="H203" s="91" t="n"/>
      <c r="I203" s="91" t="n"/>
      <c r="J203" s="91" t="n"/>
      <c r="K203" s="91" t="n"/>
      <c r="L203" s="92">
        <f>IFERROR(AVERAGEIF(G203:K203,"&gt;0"),"-")</f>
        <v/>
      </c>
      <c r="M203" s="93" t="n"/>
      <c r="N203" s="93" t="n"/>
      <c r="O203" s="93" t="n"/>
      <c r="P203" s="93" t="n"/>
      <c r="Q203" s="93" t="n"/>
      <c r="R203" s="92">
        <f>IFERROR(MIN(G203:K203),"-")</f>
        <v/>
      </c>
      <c r="S203" s="9">
        <f>IFERROR(INDEX(M203:Q203,MATCH(MIN(G203:K203),G203:K203,0)),"-")</f>
        <v/>
      </c>
      <c r="T203" t="inlineStr"/>
    </row>
    <row r="204" ht="24" customHeight="1">
      <c r="A204" s="90" t="n">
        <v>185</v>
      </c>
      <c r="C204" s="9" t="inlineStr">
        <is>
          <t>OZEL-195</t>
        </is>
      </c>
      <c r="D204" s="61" t="n"/>
      <c r="E204" s="60" t="n"/>
      <c r="F204" s="60" t="n"/>
      <c r="G204" s="91" t="n"/>
      <c r="H204" s="91" t="n"/>
      <c r="I204" s="91" t="n"/>
      <c r="J204" s="91" t="n"/>
      <c r="K204" s="91" t="n"/>
      <c r="L204" s="92">
        <f>IFERROR(AVERAGEIF(G204:K204,"&gt;0"),"-")</f>
        <v/>
      </c>
      <c r="M204" s="93" t="n"/>
      <c r="N204" s="93" t="n"/>
      <c r="O204" s="93" t="n"/>
      <c r="P204" s="93" t="n"/>
      <c r="Q204" s="93" t="n"/>
      <c r="R204" s="92">
        <f>IFERROR(MIN(G204:K204),"-")</f>
        <v/>
      </c>
      <c r="S204" s="9">
        <f>IFERROR(INDEX(M204:Q204,MATCH(MIN(G204:K204),G204:K204,0)),"-")</f>
        <v/>
      </c>
      <c r="T204" t="inlineStr"/>
    </row>
  </sheetData>
  <autoFilter ref="C9:W9">
    <filterColumn colId="1" hiddenButton="0" showButton="0"/>
    <filterColumn colId="18" hiddenButton="0" showButton="0"/>
  </autoFilter>
  <mergeCells count="13">
    <mergeCell ref="H2:P5"/>
    <mergeCell ref="C8:S8"/>
    <mergeCell ref="U9:V9"/>
    <mergeCell ref="Q2:S5"/>
    <mergeCell ref="I6:P7"/>
    <mergeCell ref="Q6:Q7"/>
    <mergeCell ref="H6:H7"/>
    <mergeCell ref="C2:C7"/>
    <mergeCell ref="D2:D5"/>
    <mergeCell ref="R6:R7"/>
    <mergeCell ref="D6:G7"/>
    <mergeCell ref="S6:S7"/>
    <mergeCell ref="E2:G5"/>
  </mergeCells>
  <conditionalFormatting sqref="G17">
    <cfRule type="top10" rank="1" priority="25" dxfId="0"/>
    <cfRule type="top10" rank="1" priority="25" dxfId="1" bottom="1"/>
  </conditionalFormatting>
  <conditionalFormatting sqref="G18">
    <cfRule type="top10" rank="1" priority="27" dxfId="0"/>
    <cfRule type="top10" rank="1" priority="27" dxfId="1" bottom="1"/>
  </conditionalFormatting>
  <conditionalFormatting sqref="G19">
    <cfRule type="top10" rank="1" priority="26" dxfId="0"/>
    <cfRule type="top10" rank="1" priority="213" dxfId="1" bottom="1"/>
  </conditionalFormatting>
  <conditionalFormatting sqref="G20">
    <cfRule type="top10" rank="1" priority="28" dxfId="0"/>
    <cfRule type="top10" rank="1" priority="214" dxfId="1" bottom="1"/>
  </conditionalFormatting>
  <conditionalFormatting sqref="G10:H10">
    <cfRule type="top10" rank="1" priority="29" dxfId="1" bottom="1"/>
    <cfRule type="top10" rank="1" priority="30" dxfId="0"/>
  </conditionalFormatting>
  <conditionalFormatting sqref="G11:H11">
    <cfRule type="top10" rank="1" priority="31" dxfId="1" bottom="1"/>
    <cfRule type="top10" rank="1" priority="32" dxfId="0"/>
  </conditionalFormatting>
  <conditionalFormatting sqref="G12:H12">
    <cfRule type="top10" rank="1" priority="33" dxfId="1" bottom="1"/>
    <cfRule type="top10" rank="1" priority="34" dxfId="0"/>
  </conditionalFormatting>
  <conditionalFormatting sqref="G13:H13">
    <cfRule type="top10" rank="1" priority="35" dxfId="1" bottom="1"/>
    <cfRule type="top10" rank="1" priority="36" dxfId="0"/>
  </conditionalFormatting>
  <conditionalFormatting sqref="G14:H14">
    <cfRule type="top10" rank="1" priority="37" dxfId="1" bottom="1"/>
    <cfRule type="top10" rank="1" priority="38" dxfId="0"/>
  </conditionalFormatting>
  <conditionalFormatting sqref="G15:H15">
    <cfRule type="top10" rank="1" priority="39" dxfId="1" bottom="1"/>
    <cfRule type="top10" rank="1" priority="40" dxfId="0"/>
  </conditionalFormatting>
  <conditionalFormatting sqref="G16:H16">
    <cfRule type="top10" rank="1" priority="41" dxfId="1" bottom="1"/>
    <cfRule type="top10" rank="1" priority="42" dxfId="0"/>
  </conditionalFormatting>
  <conditionalFormatting sqref="G72:K72">
    <cfRule type="top10" rank="1" priority="11" dxfId="1" bottom="1"/>
    <cfRule type="top10" rank="1" priority="12" dxfId="0"/>
  </conditionalFormatting>
  <conditionalFormatting sqref="G74:K74">
    <cfRule type="top10" rank="1" priority="9" dxfId="1" bottom="1"/>
    <cfRule type="top10" rank="1" priority="10" dxfId="0"/>
  </conditionalFormatting>
  <conditionalFormatting sqref="G76:K76">
    <cfRule type="top10" rank="1" priority="7" dxfId="1" bottom="1"/>
    <cfRule type="top10" rank="1" priority="8" dxfId="0"/>
  </conditionalFormatting>
  <conditionalFormatting sqref="G84:K84">
    <cfRule type="top10" rank="1" priority="5" dxfId="1" bottom="1"/>
    <cfRule type="top10" rank="1" priority="6" dxfId="0"/>
  </conditionalFormatting>
  <conditionalFormatting sqref="G196:K196">
    <cfRule type="top10" rank="1" priority="1" dxfId="1" bottom="1"/>
    <cfRule type="top10" rank="1" priority="2" dxfId="0"/>
  </conditionalFormatting>
  <conditionalFormatting sqref="G197:K197">
    <cfRule type="top10" rank="1" priority="3" dxfId="1" bottom="1"/>
    <cfRule type="top10" rank="1" priority="4" dxfId="0"/>
  </conditionalFormatting>
  <conditionalFormatting sqref="G198:K198 G200:K200 G202:K202 G204:K204">
    <cfRule type="top10" rank="1" priority="13" dxfId="1" bottom="1"/>
    <cfRule type="top10" rank="1" priority="14" dxfId="0"/>
  </conditionalFormatting>
  <conditionalFormatting sqref="G199:K199 G201:K201 G203:K203">
    <cfRule type="top10" rank="1" priority="15" dxfId="1" bottom="1"/>
    <cfRule type="top10" rank="1" priority="16" dxfId="0"/>
  </conditionalFormatting>
  <conditionalFormatting sqref="H23">
    <cfRule type="top10" rank="1" priority="19" dxfId="1" bottom="1"/>
    <cfRule type="top10" rank="1" priority="20" dxfId="0"/>
  </conditionalFormatting>
  <conditionalFormatting sqref="H25">
    <cfRule type="top10" rank="1" priority="17" dxfId="1" bottom="1"/>
    <cfRule type="top10" rank="1" priority="18" dxfId="0"/>
  </conditionalFormatting>
  <conditionalFormatting sqref="G21:K21 G23 G25 G27:K27 G29:K29 G31:K31 G33:K33 G35:K35 G37:K37 G39:K39 G41:K41 G43:K43 G45:K45 G47:K47 G49:K49 G51:K51 G53:K53 G55:K55 G57:K57 G59:K59 G61:K61 G63:K63 G65:K65 G67:K67 G69:K69 G71:K71 G75:K75 G78:K78 G80:K80 G82:K82 G85:K85 G87:K87 G89:K89 G91:K91 G93:K93 G95:K95 G97:K97 G99:K99 G101:K101 G103:K103 G105:K105 G107:K107 G109:K109 G111:K111 G113:K113 G115:K115 G117:K117 G119:K119 G121:K121 G123:K123 G125:K125 G127:K127 G129:K129 G131:K131 G133:K133 G135:K135 G137:K137 G139:K139 G141:K141 G143:K143 G145:K145 G147:K147 G149:K149 G151:K151 G153:K153 G155:K155 G157:K157 G159:K159 G161:K161 G163:K195 H17:K17 H19:K19 I23:K23 I25:K25">
    <cfRule type="top10" rank="1" priority="61" dxfId="1" bottom="1"/>
    <cfRule type="top10" rank="1" priority="62" dxfId="0"/>
  </conditionalFormatting>
  <conditionalFormatting sqref="G22:K22 G24:K24 G26:K26 G28:K28 G30:K30 G32:K32 G34:K34 G36:K36 G38:K38 G40:K40 G42:K42 G44:K44 G46:K46 G48:K48 G50:K50 G52:K52 G54:K54 G56:K56 G58:K58 G60:K60 G62:K62 G64:K64 G66:K66 G68:K68 G70:K70 G73:K73 G77:K77 G79:K79 G81:K81 G83:K83 G86:K86 G88:K88 G90:K90 G92:K92 G94:K94 G96:K96 G98:K98 G100:K100 G102:K102 G104:K104 G106:K106 G108:K108 G110:K110 G112:K112 G114:K114 G116:K116 G118:K118 G120:K120 G122:K122 G124:K124 G126:K126 G128:K128 G130:K130 G132:K132 G134:K134 G136:K136 G138:K138 G140:K140 G142:K142 G144:K144 G146:K146 G148:K148 G150:K150 G152:K152 G154:K154 G156:K156 G158:K158 G160:K160 G162:K162 H18:K18 H20:K20">
    <cfRule type="top10" rank="1" priority="211" dxfId="1" bottom="1"/>
    <cfRule type="top10" rank="1" priority="212" dxfId="0"/>
  </conditionalFormatting>
  <conditionalFormatting sqref="I10:K10">
    <cfRule type="top10" rank="1" priority="43" dxfId="1" bottom="1"/>
    <cfRule type="top10" rank="1" priority="44" dxfId="0"/>
  </conditionalFormatting>
  <conditionalFormatting sqref="I11:K11">
    <cfRule type="top10" rank="1" priority="45" dxfId="1" bottom="1"/>
    <cfRule type="top10" rank="1" priority="46" dxfId="0"/>
  </conditionalFormatting>
  <conditionalFormatting sqref="I12:K12">
    <cfRule type="top10" rank="1" priority="47" dxfId="1" bottom="1"/>
    <cfRule type="top10" rank="1" priority="48" dxfId="0"/>
  </conditionalFormatting>
  <conditionalFormatting sqref="I13:K13">
    <cfRule type="top10" rank="1" priority="49" dxfId="1" bottom="1"/>
    <cfRule type="top10" rank="1" priority="50" dxfId="0"/>
  </conditionalFormatting>
  <conditionalFormatting sqref="I14:K14">
    <cfRule type="top10" rank="1" priority="51" dxfId="1" bottom="1"/>
    <cfRule type="top10" rank="1" priority="52" dxfId="0"/>
  </conditionalFormatting>
  <conditionalFormatting sqref="I15:K15">
    <cfRule type="top10" rank="1" priority="53" dxfId="1" bottom="1"/>
    <cfRule type="top10" rank="1" priority="54" dxfId="0"/>
  </conditionalFormatting>
  <conditionalFormatting sqref="I16:K16">
    <cfRule type="top10" rank="1" priority="55" dxfId="1" bottom="1"/>
    <cfRule type="top10" rank="1" priority="56" dxfId="0"/>
  </conditionalFormatting>
  <pageMargins left="0.7" right="0.7" top="0.75" bottom="0.75" header="0.3" footer="0.3"/>
  <pageSetup orientation="portrait" scale="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Tuğberk Korkmaz</dc:creator>
  <dcterms:created xsi:type="dcterms:W3CDTF">2015-06-05T18:17:20Z</dcterms:created>
  <dcterms:modified xsi:type="dcterms:W3CDTF">2026-06-06T08:34:38Z</dcterms:modified>
  <cp:lastModifiedBy>KEY OIL &amp; GAS</cp:lastModifiedBy>
</cp:coreProperties>
</file>