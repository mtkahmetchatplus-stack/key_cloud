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LİF" sheetId="1" state="visible" r:id="rId1"/>
    <sheet name="ÜRETİM" sheetId="2" state="visible" r:id="rId2"/>
    <sheet name="TAŞIRMA" sheetId="3" state="visible" r:id="rId3"/>
    <sheet name="ATIKS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  <sz val="9"/>
    </font>
    <font>
      <b val="1"/>
      <color rgb="001F4E79"/>
      <sz val="10"/>
    </font>
    <font>
      <b val="1"/>
      <color rgb="00FFFFFF"/>
      <sz val="10"/>
    </font>
    <font>
      <sz val="10"/>
    </font>
    <font>
      <sz val="9"/>
    </font>
    <font>
      <b val="1"/>
      <color rgb="00CC0000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9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52" customWidth="1" min="3" max="3"/>
    <col width="9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 ht="26" customHeight="1">
      <c r="B1" s="1" t="inlineStr">
        <is>
          <t>TANK SATINALMA SİPARİŞ TABLOSU  —  SAC/PLAKA METRAJİ  (3 TANK: T-201 / T-202 / T-301)</t>
        </is>
      </c>
    </row>
    <row r="2" ht="16" customHeight="1">
      <c r="B2" s="2" t="inlineStr">
        <is>
          <t>SAC MALZEMECİSİ → Kolon H doldurun (Malzeme $/kg)     |     KESİM/BÜKÜM FABRİKATÖRÜ → Kolon I doldurun (İşçilik $/kg)     |     Toplam formüller otomatiktir</t>
        </is>
      </c>
    </row>
    <row r="3" ht="40" customHeight="1">
      <c r="B3" s="3" t="inlineStr">
        <is>
          <t>S.NO</t>
        </is>
      </c>
      <c r="C3" s="3" t="inlineStr">
        <is>
          <t>TANIM  /  POZ  /  İŞLEM TÜRÜ</t>
        </is>
      </c>
      <c r="D3" s="3" t="inlineStr">
        <is>
          <t>ADET</t>
        </is>
      </c>
      <c r="E3" s="3" t="inlineStr">
        <is>
          <t>BOYUT
(En×Kalınlık×Boy mm)</t>
        </is>
      </c>
      <c r="F3" s="3" t="inlineStr">
        <is>
          <t>BİRİM
Kg</t>
        </is>
      </c>
      <c r="G3" s="3" t="inlineStr">
        <is>
          <t>TOPLAM
Kg</t>
        </is>
      </c>
      <c r="H3" s="3" t="inlineStr">
        <is>
          <t>MAT. FİYAT
★($/kg)</t>
        </is>
      </c>
      <c r="I3" s="3" t="inlineStr">
        <is>
          <t>İŞÇİLİK
★($/kg)</t>
        </is>
      </c>
      <c r="J3" s="3" t="inlineStr">
        <is>
          <t>MAT.
TUTAR ($)</t>
        </is>
      </c>
      <c r="K3" s="3" t="inlineStr">
        <is>
          <t>İŞÇİLİK
TUTAR ($)</t>
        </is>
      </c>
      <c r="L3" s="3" t="inlineStr">
        <is>
          <t>TOPLAM
($)</t>
        </is>
      </c>
    </row>
    <row r="4" ht="18" customHeight="1">
      <c r="B4" s="4" t="inlineStr">
        <is>
          <t>T-201  TAŞIRMA TANKI  —  GÖVDE SAC  |  S275J2  (Taban+Tavan: Çizim bekleniyor)</t>
        </is>
      </c>
    </row>
    <row r="5" ht="20" customHeight="1">
      <c r="B5" s="5" t="n">
        <v>1</v>
      </c>
      <c r="C5" s="6" t="inlineStr">
        <is>
          <t>[T-201] GÖVDE 12mm — Kesim + Silindirik Bükme</t>
        </is>
      </c>
      <c r="D5" s="5" t="n">
        <v>8</v>
      </c>
      <c r="E5" s="7" t="inlineStr">
        <is>
          <t>1500×12×12000</t>
        </is>
      </c>
      <c r="F5" s="5" t="n">
        <v>1698</v>
      </c>
      <c r="G5" s="5" t="n">
        <v>13584</v>
      </c>
      <c r="H5" s="8" t="inlineStr"/>
      <c r="I5" s="8" t="inlineStr"/>
      <c r="J5" s="5">
        <f>G5*H5</f>
        <v/>
      </c>
      <c r="K5" s="5">
        <f>G5*I5</f>
        <v/>
      </c>
      <c r="L5" s="9">
        <f>J5+K5</f>
        <v/>
      </c>
    </row>
    <row r="6" ht="20" customHeight="1">
      <c r="B6" s="10" t="n">
        <v>2</v>
      </c>
      <c r="C6" s="11" t="inlineStr">
        <is>
          <t>[T-201] GÖVDE 12mm — Kesim + Silindirik Bükme  (Kapama)</t>
        </is>
      </c>
      <c r="D6" s="10" t="n">
        <v>2</v>
      </c>
      <c r="E6" s="12" t="inlineStr">
        <is>
          <t>1500×12×11678</t>
        </is>
      </c>
      <c r="F6" s="10" t="n">
        <v>1652</v>
      </c>
      <c r="G6" s="10" t="n">
        <v>3304</v>
      </c>
      <c r="H6" s="8" t="inlineStr"/>
      <c r="I6" s="8" t="inlineStr"/>
      <c r="J6" s="10">
        <f>G6*H6</f>
        <v/>
      </c>
      <c r="K6" s="10">
        <f>G6*I6</f>
        <v/>
      </c>
      <c r="L6" s="9">
        <f>J6+K6</f>
        <v/>
      </c>
    </row>
    <row r="7" ht="20" customHeight="1">
      <c r="B7" s="5" t="n">
        <v>3</v>
      </c>
      <c r="C7" s="6" t="inlineStr">
        <is>
          <t>[T-201] GÖVDE 10mm — Kesim + Silindirik Bükme</t>
        </is>
      </c>
      <c r="D7" s="5" t="n">
        <v>12</v>
      </c>
      <c r="E7" s="7" t="inlineStr">
        <is>
          <t>1500×10×12000</t>
        </is>
      </c>
      <c r="F7" s="5" t="n">
        <v>1415</v>
      </c>
      <c r="G7" s="5" t="n">
        <v>16980</v>
      </c>
      <c r="H7" s="8" t="inlineStr"/>
      <c r="I7" s="8" t="inlineStr"/>
      <c r="J7" s="5">
        <f>G7*H7</f>
        <v/>
      </c>
      <c r="K7" s="5">
        <f>G7*I7</f>
        <v/>
      </c>
      <c r="L7" s="9">
        <f>J7+K7</f>
        <v/>
      </c>
    </row>
    <row r="8" ht="20" customHeight="1">
      <c r="B8" s="10" t="n">
        <v>4</v>
      </c>
      <c r="C8" s="11" t="inlineStr">
        <is>
          <t>[T-201] GÖVDE 10mm — Kesim + Silindirik Bükme  (Kapama)</t>
        </is>
      </c>
      <c r="D8" s="10" t="n">
        <v>3</v>
      </c>
      <c r="E8" s="12" t="inlineStr">
        <is>
          <t>1500×10×11678</t>
        </is>
      </c>
      <c r="F8" s="10" t="n">
        <v>1377</v>
      </c>
      <c r="G8" s="10" t="n">
        <v>4131</v>
      </c>
      <c r="H8" s="8" t="inlineStr"/>
      <c r="I8" s="8" t="inlineStr"/>
      <c r="J8" s="10">
        <f>G8*H8</f>
        <v/>
      </c>
      <c r="K8" s="10">
        <f>G8*I8</f>
        <v/>
      </c>
      <c r="L8" s="9">
        <f>J8+K8</f>
        <v/>
      </c>
    </row>
    <row r="9" ht="20" customHeight="1">
      <c r="B9" s="5" t="n">
        <v>5</v>
      </c>
      <c r="C9" s="6" t="inlineStr">
        <is>
          <t>[T-201] GÖVDE 8mm — Kesim + Silindirik Bükme</t>
        </is>
      </c>
      <c r="D9" s="5" t="n">
        <v>12</v>
      </c>
      <c r="E9" s="7" t="inlineStr">
        <is>
          <t>1500×8×12000</t>
        </is>
      </c>
      <c r="F9" s="5" t="n">
        <v>1132</v>
      </c>
      <c r="G9" s="5" t="n">
        <v>13584</v>
      </c>
      <c r="H9" s="8" t="inlineStr"/>
      <c r="I9" s="8" t="inlineStr"/>
      <c r="J9" s="5">
        <f>G9*H9</f>
        <v/>
      </c>
      <c r="K9" s="5">
        <f>G9*I9</f>
        <v/>
      </c>
      <c r="L9" s="9">
        <f>J9+K9</f>
        <v/>
      </c>
    </row>
    <row r="10" ht="20" customHeight="1">
      <c r="B10" s="10" t="n">
        <v>6</v>
      </c>
      <c r="C10" s="11" t="inlineStr">
        <is>
          <t>[T-201] GÖVDE 8mm — Kesim + Silindirik Bükme  (Kapama)</t>
        </is>
      </c>
      <c r="D10" s="10" t="n">
        <v>3</v>
      </c>
      <c r="E10" s="12" t="inlineStr">
        <is>
          <t>1500×8×11678</t>
        </is>
      </c>
      <c r="F10" s="10" t="n">
        <v>1102</v>
      </c>
      <c r="G10" s="10" t="n">
        <v>3306</v>
      </c>
      <c r="H10" s="8" t="inlineStr"/>
      <c r="I10" s="8" t="inlineStr"/>
      <c r="J10" s="10">
        <f>G10*H10</f>
        <v/>
      </c>
      <c r="K10" s="10">
        <f>G10*I10</f>
        <v/>
      </c>
      <c r="L10" s="9">
        <f>J10+K10</f>
        <v/>
      </c>
    </row>
    <row r="11" ht="14" customHeight="1">
      <c r="B11" s="13" t="inlineStr">
        <is>
          <t>★ T-201 taban ve tavan sac listesi: çizimler temin edildiğinde eklenecektir.</t>
        </is>
      </c>
    </row>
    <row r="13" ht="18" customHeight="1">
      <c r="B13" s="4" t="inlineStr">
        <is>
          <t>T-202  ÜRETİM TANKI  (T-202)  —  GÖVDE SAC  |  S275J2  |  D=12.730m  H=8.920m  |  Çizim: KEY199MECEQP2001</t>
        </is>
      </c>
    </row>
    <row r="14" ht="20" customHeight="1">
      <c r="B14" s="5" t="n">
        <v>7</v>
      </c>
      <c r="C14" s="6" t="inlineStr">
        <is>
          <t>[T-202] GÖVDE 8mm — 1.Kurs (POZ 1,1A,1B,1C,1D,1E)  |  Kesim + Silindirik Bükme R=6365mm
⚠ Her plakada farklı nozul/manhole kesimi var (Çizim'e bakınız)</t>
        </is>
      </c>
      <c r="D14" s="5" t="n">
        <v>6</v>
      </c>
      <c r="E14" s="7" t="inlineStr">
        <is>
          <t>1480×8×6000</t>
        </is>
      </c>
      <c r="F14" s="5" t="n">
        <v>557.6</v>
      </c>
      <c r="G14" s="5" t="n">
        <v>3345.6</v>
      </c>
      <c r="H14" s="8" t="inlineStr"/>
      <c r="I14" s="8" t="inlineStr"/>
      <c r="J14" s="5">
        <f>G14*H14</f>
        <v/>
      </c>
      <c r="K14" s="5">
        <f>G14*I14</f>
        <v/>
      </c>
      <c r="L14" s="9">
        <f>J14+K14</f>
        <v/>
      </c>
    </row>
    <row r="15" ht="20" customHeight="1">
      <c r="B15" s="10" t="n">
        <v>8</v>
      </c>
      <c r="C15" s="11" t="inlineStr">
        <is>
          <t>[T-202] GÖVDE 8mm — 1.Kurs Kapama (POZ 2)  |  Kesim + Silindirik Bükme R=6365mm</t>
        </is>
      </c>
      <c r="D15" s="10" t="n">
        <v>1</v>
      </c>
      <c r="E15" s="12" t="inlineStr">
        <is>
          <t>1480×8×3997</t>
        </is>
      </c>
      <c r="F15" s="10" t="n">
        <v>371.5</v>
      </c>
      <c r="G15" s="10" t="n">
        <v>371.5</v>
      </c>
      <c r="H15" s="8" t="inlineStr"/>
      <c r="I15" s="8" t="inlineStr"/>
      <c r="J15" s="10">
        <f>G15*H15</f>
        <v/>
      </c>
      <c r="K15" s="10">
        <f>G15*I15</f>
        <v/>
      </c>
      <c r="L15" s="9">
        <f>J15+K15</f>
        <v/>
      </c>
    </row>
    <row r="16" ht="20" customHeight="1">
      <c r="B16" s="5" t="n">
        <v>9</v>
      </c>
      <c r="C16" s="6" t="inlineStr">
        <is>
          <t>[T-202] GÖVDE 6mm — 2–6.Kurs (POZ 3 ×30)  |  Kesim + Silindirik Bükme R=6365mm</t>
        </is>
      </c>
      <c r="D16" s="5" t="n">
        <v>30</v>
      </c>
      <c r="E16" s="7" t="inlineStr">
        <is>
          <t>1480×6×6000</t>
        </is>
      </c>
      <c r="F16" s="5" t="n">
        <v>418.2</v>
      </c>
      <c r="G16" s="5" t="n">
        <v>12546</v>
      </c>
      <c r="H16" s="8" t="inlineStr"/>
      <c r="I16" s="8" t="inlineStr"/>
      <c r="J16" s="5">
        <f>G16*H16</f>
        <v/>
      </c>
      <c r="K16" s="5">
        <f>G16*I16</f>
        <v/>
      </c>
      <c r="L16" s="9">
        <f>J16+K16</f>
        <v/>
      </c>
    </row>
    <row r="17" ht="20" customHeight="1">
      <c r="B17" s="10" t="n">
        <v>10</v>
      </c>
      <c r="C17" s="11" t="inlineStr">
        <is>
          <t>[T-202] GÖVDE 6mm — 2–6.Kurs Kapama (POZ 3A)  |  Kesim + Silindirik Bükme R=6365mm</t>
        </is>
      </c>
      <c r="D17" s="10" t="n">
        <v>1</v>
      </c>
      <c r="E17" s="12" t="inlineStr">
        <is>
          <t>1480×6×6000</t>
        </is>
      </c>
      <c r="F17" s="10" t="n">
        <v>418</v>
      </c>
      <c r="G17" s="10" t="n">
        <v>418</v>
      </c>
      <c r="H17" s="8" t="inlineStr"/>
      <c r="I17" s="8" t="inlineStr"/>
      <c r="J17" s="10">
        <f>G17*H17</f>
        <v/>
      </c>
      <c r="K17" s="10">
        <f>G17*I17</f>
        <v/>
      </c>
      <c r="L17" s="9">
        <f>J17+K17</f>
        <v/>
      </c>
    </row>
    <row r="18" ht="18" customHeight="1">
      <c r="B18" s="4" t="inlineStr">
        <is>
          <t>T-202  ÜRETİM TANKI  —  TABAN SAC  |  S275J2  |  Çizim: KEY199MECEQP2003</t>
        </is>
      </c>
    </row>
    <row r="19" ht="20" customHeight="1">
      <c r="B19" s="5" t="n">
        <v>11</v>
      </c>
      <c r="C19" s="6" t="inlineStr">
        <is>
          <t>[T-202] TABAN 10mm Orta (POZ 1 ×7)  |  Kesim (Düz plaka)</t>
        </is>
      </c>
      <c r="D19" s="5" t="n">
        <v>7</v>
      </c>
      <c r="E19" s="7" t="inlineStr">
        <is>
          <t>1500×10×5990</t>
        </is>
      </c>
      <c r="F19" s="5" t="n">
        <v>705.3</v>
      </c>
      <c r="G19" s="5" t="n">
        <v>4937.1</v>
      </c>
      <c r="H19" s="8" t="inlineStr"/>
      <c r="I19" s="8" t="inlineStr"/>
      <c r="J19" s="5">
        <f>G19*H19</f>
        <v/>
      </c>
      <c r="K19" s="5">
        <f>G19*I19</f>
        <v/>
      </c>
      <c r="L19" s="9">
        <f>J19+K19</f>
        <v/>
      </c>
    </row>
    <row r="20" ht="20" customHeight="1">
      <c r="B20" s="10" t="n">
        <v>12</v>
      </c>
      <c r="C20" s="11" t="inlineStr">
        <is>
          <t>[T-202] TABAN 10mm Orta (POZ 2 ×2)  |  Kesim</t>
        </is>
      </c>
      <c r="D20" s="10" t="n">
        <v>2</v>
      </c>
      <c r="E20" s="12" t="inlineStr">
        <is>
          <t>1500×10×2684</t>
        </is>
      </c>
      <c r="F20" s="10" t="n">
        <v>314</v>
      </c>
      <c r="G20" s="10" t="n">
        <v>628</v>
      </c>
      <c r="H20" s="8" t="inlineStr"/>
      <c r="I20" s="8" t="inlineStr"/>
      <c r="J20" s="10">
        <f>G20*H20</f>
        <v/>
      </c>
      <c r="K20" s="10">
        <f>G20*I20</f>
        <v/>
      </c>
      <c r="L20" s="9">
        <f>J20+K20</f>
        <v/>
      </c>
    </row>
    <row r="21" ht="20" customHeight="1">
      <c r="B21" s="5" t="n">
        <v>13</v>
      </c>
      <c r="C21" s="6" t="inlineStr">
        <is>
          <t>[T-202] TABAN 10mm Orta (POZ 3 ×4)  |  Kesim  (Kısa strip)</t>
        </is>
      </c>
      <c r="D21" s="5" t="n">
        <v>4</v>
      </c>
      <c r="E21" s="7" t="inlineStr">
        <is>
          <t>1500×10×635</t>
        </is>
      </c>
      <c r="F21" s="5" t="n">
        <v>55.5</v>
      </c>
      <c r="G21" s="5" t="n">
        <v>222</v>
      </c>
      <c r="H21" s="8" t="inlineStr"/>
      <c r="I21" s="8" t="inlineStr"/>
      <c r="J21" s="5">
        <f>G21*H21</f>
        <v/>
      </c>
      <c r="K21" s="5">
        <f>G21*I21</f>
        <v/>
      </c>
      <c r="L21" s="9">
        <f>J21+K21</f>
        <v/>
      </c>
    </row>
    <row r="22" ht="20" customHeight="1">
      <c r="B22" s="10" t="n">
        <v>14</v>
      </c>
      <c r="C22" s="11" t="inlineStr">
        <is>
          <t>[T-202] TABAN 10mm Orta (POZ 4 ×3)  |  Kesim</t>
        </is>
      </c>
      <c r="D22" s="10" t="n">
        <v>3</v>
      </c>
      <c r="E22" s="12" t="inlineStr">
        <is>
          <t>1500×10×2262</t>
        </is>
      </c>
      <c r="F22" s="10" t="n">
        <v>219.2</v>
      </c>
      <c r="G22" s="10" t="n">
        <v>657.6</v>
      </c>
      <c r="H22" s="8" t="inlineStr"/>
      <c r="I22" s="8" t="inlineStr"/>
      <c r="J22" s="10">
        <f>G22*H22</f>
        <v/>
      </c>
      <c r="K22" s="10">
        <f>G22*I22</f>
        <v/>
      </c>
      <c r="L22" s="9">
        <f>J22+K22</f>
        <v/>
      </c>
    </row>
    <row r="23" ht="20" customHeight="1">
      <c r="B23" s="5" t="n">
        <v>15</v>
      </c>
      <c r="C23" s="6" t="inlineStr">
        <is>
          <t>[T-202] TABAN 10mm Orta (POZ 5 ×1)  |  Kesim</t>
        </is>
      </c>
      <c r="D23" s="5" t="n">
        <v>1</v>
      </c>
      <c r="E23" s="7" t="inlineStr">
        <is>
          <t>1500×10×2676</t>
        </is>
      </c>
      <c r="F23" s="5" t="n">
        <v>222</v>
      </c>
      <c r="G23" s="5" t="n">
        <v>222</v>
      </c>
      <c r="H23" s="8" t="inlineStr"/>
      <c r="I23" s="8" t="inlineStr"/>
      <c r="J23" s="5">
        <f>G23*H23</f>
        <v/>
      </c>
      <c r="K23" s="5">
        <f>G23*I23</f>
        <v/>
      </c>
      <c r="L23" s="9">
        <f>J23+K23</f>
        <v/>
      </c>
    </row>
    <row r="24" ht="20" customHeight="1">
      <c r="B24" s="10" t="n">
        <v>16</v>
      </c>
      <c r="C24" s="11" t="inlineStr">
        <is>
          <t>[T-202] TABAN 10mm Orta (POZ 6 ×1)  |  Kesim</t>
        </is>
      </c>
      <c r="D24" s="10" t="n">
        <v>1</v>
      </c>
      <c r="E24" s="12" t="inlineStr">
        <is>
          <t>1500×10×4395</t>
        </is>
      </c>
      <c r="F24" s="10" t="n">
        <v>557</v>
      </c>
      <c r="G24" s="10" t="n">
        <v>557</v>
      </c>
      <c r="H24" s="8" t="inlineStr"/>
      <c r="I24" s="8" t="inlineStr"/>
      <c r="J24" s="10">
        <f>G24*H24</f>
        <v/>
      </c>
      <c r="K24" s="10">
        <f>G24*I24</f>
        <v/>
      </c>
      <c r="L24" s="9">
        <f>J24+K24</f>
        <v/>
      </c>
    </row>
    <row r="25" ht="20" customHeight="1">
      <c r="B25" s="5" t="n">
        <v>17</v>
      </c>
      <c r="C25" s="6" t="inlineStr">
        <is>
          <t>[T-202] TABAN 10mm Orta (POZ 7 ×2)  |  Kesim</t>
        </is>
      </c>
      <c r="D25" s="5" t="n">
        <v>2</v>
      </c>
      <c r="E25" s="7" t="inlineStr">
        <is>
          <t>1500×10×2994</t>
        </is>
      </c>
      <c r="F25" s="5" t="n">
        <v>347.4</v>
      </c>
      <c r="G25" s="5" t="n">
        <v>694.8</v>
      </c>
      <c r="H25" s="8" t="inlineStr"/>
      <c r="I25" s="8" t="inlineStr"/>
      <c r="J25" s="5">
        <f>G25*H25</f>
        <v/>
      </c>
      <c r="K25" s="5">
        <f>G25*I25</f>
        <v/>
      </c>
      <c r="L25" s="9">
        <f>J25+K25</f>
        <v/>
      </c>
    </row>
    <row r="26" ht="20" customHeight="1">
      <c r="B26" s="10" t="n">
        <v>18</v>
      </c>
      <c r="C26" s="11" t="inlineStr">
        <is>
          <t>[T-202] TABAN 10mm Orta (POZ 8 ×2)  |  Kesim  (Dar plaka, 632mm en)</t>
        </is>
      </c>
      <c r="D26" s="10" t="n">
        <v>2</v>
      </c>
      <c r="E26" s="12" t="inlineStr">
        <is>
          <t>632×10×5208</t>
        </is>
      </c>
      <c r="F26" s="10" t="n">
        <v>174.1</v>
      </c>
      <c r="G26" s="10" t="n">
        <v>348.2</v>
      </c>
      <c r="H26" s="8" t="inlineStr"/>
      <c r="I26" s="8" t="inlineStr"/>
      <c r="J26" s="10">
        <f>G26*H26</f>
        <v/>
      </c>
      <c r="K26" s="10">
        <f>G26*I26</f>
        <v/>
      </c>
      <c r="L26" s="9">
        <f>J26+K26</f>
        <v/>
      </c>
    </row>
    <row r="27" ht="20" customHeight="1">
      <c r="B27" s="5" t="n">
        <v>19</v>
      </c>
      <c r="C27" s="6" t="inlineStr">
        <is>
          <t>[T-202] TABAN 12mm Annüler-Çevre (POZ 9 ×6)  |  Kesim  (1500mm'den boyuna bölünecek)</t>
        </is>
      </c>
      <c r="D27" s="5" t="n">
        <v>6</v>
      </c>
      <c r="E27" s="7" t="inlineStr">
        <is>
          <t>800×12×5937</t>
        </is>
      </c>
      <c r="F27" s="5" t="n">
        <v>436.1</v>
      </c>
      <c r="G27" s="5" t="n">
        <v>2616.6</v>
      </c>
      <c r="H27" s="8" t="inlineStr"/>
      <c r="I27" s="8" t="inlineStr"/>
      <c r="J27" s="5">
        <f>G27*H27</f>
        <v/>
      </c>
      <c r="K27" s="5">
        <f>G27*I27</f>
        <v/>
      </c>
      <c r="L27" s="9">
        <f>J27+K27</f>
        <v/>
      </c>
    </row>
    <row r="28" ht="20" customHeight="1">
      <c r="B28" s="10" t="n">
        <v>20</v>
      </c>
      <c r="C28" s="11" t="inlineStr">
        <is>
          <t>[T-202] TABAN 12mm Annüler-Çevre (POZ 9A ×1)  |  Kesim  (Kapama)</t>
        </is>
      </c>
      <c r="D28" s="10" t="n">
        <v>1</v>
      </c>
      <c r="E28" s="12" t="inlineStr">
        <is>
          <t>800×12×3327</t>
        </is>
      </c>
      <c r="F28" s="10" t="n">
        <v>237.8</v>
      </c>
      <c r="G28" s="10" t="n">
        <v>237.8</v>
      </c>
      <c r="H28" s="8" t="inlineStr"/>
      <c r="I28" s="8" t="inlineStr"/>
      <c r="J28" s="10">
        <f>G28*H28</f>
        <v/>
      </c>
      <c r="K28" s="10">
        <f>G28*I28</f>
        <v/>
      </c>
      <c r="L28" s="9">
        <f>J28+K28</f>
        <v/>
      </c>
    </row>
    <row r="29" ht="20" customHeight="1">
      <c r="B29" s="5" t="n">
        <v>21</v>
      </c>
      <c r="C29" s="6" t="inlineStr">
        <is>
          <t>[T-202] TABAN 5mm Drenaj Strip (POZ 10-13 ×23)  |  Kesim  (Atık sacdan kesilebilir)</t>
        </is>
      </c>
      <c r="D29" s="5" t="n">
        <v>23</v>
      </c>
      <c r="E29" s="7" t="inlineStr">
        <is>
          <t>50×5×çeşitli</t>
        </is>
      </c>
      <c r="F29" s="5" t="n">
        <v>2.4</v>
      </c>
      <c r="G29" s="5" t="n">
        <v>55.2</v>
      </c>
      <c r="H29" s="8" t="inlineStr"/>
      <c r="I29" s="8" t="inlineStr"/>
      <c r="J29" s="5">
        <f>G29*H29</f>
        <v/>
      </c>
      <c r="K29" s="5">
        <f>G29*I29</f>
        <v/>
      </c>
      <c r="L29" s="9">
        <f>J29+K29</f>
        <v/>
      </c>
    </row>
    <row r="30" ht="18" customHeight="1">
      <c r="B30" s="4" t="inlineStr">
        <is>
          <t>T-202  ÜRETİM TANKI  —  TAVAN SAC  (Konik Sektörler)  |  S275J2  |  Çizim: KEY199MECEQP2002</t>
        </is>
      </c>
    </row>
    <row r="31" ht="14" customHeight="1">
      <c r="B31" s="13" t="inlineStr">
        <is>
          <t>İŞLEM: Tüm tavan plakaları KESİM + KONİK BÜKME.  Sektör açısı ve şablonu çizimden alınacak.  Koniklik radyüsü fabrikatörce hesaplanacaktır.</t>
        </is>
      </c>
    </row>
    <row r="32" ht="20" customHeight="1">
      <c r="B32" s="5" t="n">
        <v>22</v>
      </c>
      <c r="C32" s="6" t="inlineStr">
        <is>
          <t>[T-202] TAVAN 8mm Sektör (POZ 1 ×4)  |  Kesim + Konik Bükme</t>
        </is>
      </c>
      <c r="D32" s="5" t="n">
        <v>4</v>
      </c>
      <c r="E32" s="7" t="inlineStr">
        <is>
          <t>1500×8×6000</t>
        </is>
      </c>
      <c r="F32" s="5" t="n">
        <v>565.2</v>
      </c>
      <c r="G32" s="5" t="n">
        <v>2260.8</v>
      </c>
      <c r="H32" s="8" t="inlineStr"/>
      <c r="I32" s="8" t="inlineStr"/>
      <c r="J32" s="5">
        <f>G32*H32</f>
        <v/>
      </c>
      <c r="K32" s="5">
        <f>G32*I32</f>
        <v/>
      </c>
      <c r="L32" s="9">
        <f>J32+K32</f>
        <v/>
      </c>
    </row>
    <row r="33" ht="20" customHeight="1">
      <c r="B33" s="10" t="n">
        <v>23</v>
      </c>
      <c r="C33" s="11" t="inlineStr">
        <is>
          <t>[T-202] TAVAN 8mm Sektör (POZ 1A)  |  Kesim + Konik Bükme</t>
        </is>
      </c>
      <c r="D33" s="10" t="n">
        <v>1</v>
      </c>
      <c r="E33" s="12" t="inlineStr">
        <is>
          <t>1500×8×6000</t>
        </is>
      </c>
      <c r="F33" s="10" t="n">
        <v>560</v>
      </c>
      <c r="G33" s="10" t="n">
        <v>560</v>
      </c>
      <c r="H33" s="8" t="inlineStr"/>
      <c r="I33" s="8" t="inlineStr"/>
      <c r="J33" s="10">
        <f>G33*H33</f>
        <v/>
      </c>
      <c r="K33" s="10">
        <f>G33*I33</f>
        <v/>
      </c>
      <c r="L33" s="9">
        <f>J33+K33</f>
        <v/>
      </c>
    </row>
    <row r="34" ht="20" customHeight="1">
      <c r="B34" s="5" t="n">
        <v>24</v>
      </c>
      <c r="C34" s="6" t="inlineStr">
        <is>
          <t>[T-202] TAVAN 8mm Sektör (POZ 1B)  |  Kesim + Konik Bükme</t>
        </is>
      </c>
      <c r="D34" s="5" t="n">
        <v>1</v>
      </c>
      <c r="E34" s="7" t="inlineStr">
        <is>
          <t>1500×8×6000</t>
        </is>
      </c>
      <c r="F34" s="5" t="n">
        <v>560</v>
      </c>
      <c r="G34" s="5" t="n">
        <v>560</v>
      </c>
      <c r="H34" s="8" t="inlineStr"/>
      <c r="I34" s="8" t="inlineStr"/>
      <c r="J34" s="5">
        <f>G34*H34</f>
        <v/>
      </c>
      <c r="K34" s="5">
        <f>G34*I34</f>
        <v/>
      </c>
      <c r="L34" s="9">
        <f>J34+K34</f>
        <v/>
      </c>
    </row>
    <row r="35" ht="20" customHeight="1">
      <c r="B35" s="10" t="n">
        <v>25</v>
      </c>
      <c r="C35" s="11" t="inlineStr">
        <is>
          <t>[T-202] TAVAN 8mm Sektör (POZ 1C)  |  Kesim + Konik Bükme</t>
        </is>
      </c>
      <c r="D35" s="10" t="n">
        <v>1</v>
      </c>
      <c r="E35" s="12" t="inlineStr">
        <is>
          <t>1500×8×6000</t>
        </is>
      </c>
      <c r="F35" s="10" t="n">
        <v>560</v>
      </c>
      <c r="G35" s="10" t="n">
        <v>560</v>
      </c>
      <c r="H35" s="8" t="inlineStr"/>
      <c r="I35" s="8" t="inlineStr"/>
      <c r="J35" s="10">
        <f>G35*H35</f>
        <v/>
      </c>
      <c r="K35" s="10">
        <f>G35*I35</f>
        <v/>
      </c>
      <c r="L35" s="9">
        <f>J35+K35</f>
        <v/>
      </c>
    </row>
    <row r="36" ht="20" customHeight="1">
      <c r="B36" s="5" t="n">
        <v>26</v>
      </c>
      <c r="C36" s="6" t="inlineStr">
        <is>
          <t>[T-202] TAVAN 8mm Sektör (POZ 2 ×2)  |  Kesim + Konik Bükme</t>
        </is>
      </c>
      <c r="D36" s="5" t="n">
        <v>2</v>
      </c>
      <c r="E36" s="7" t="inlineStr">
        <is>
          <t>1500×8×3561</t>
        </is>
      </c>
      <c r="F36" s="5" t="n">
        <v>334</v>
      </c>
      <c r="G36" s="5" t="n">
        <v>668</v>
      </c>
      <c r="H36" s="8" t="inlineStr"/>
      <c r="I36" s="8" t="inlineStr"/>
      <c r="J36" s="5">
        <f>G36*H36</f>
        <v/>
      </c>
      <c r="K36" s="5">
        <f>G36*I36</f>
        <v/>
      </c>
      <c r="L36" s="9">
        <f>J36+K36</f>
        <v/>
      </c>
    </row>
    <row r="37" ht="20" customHeight="1">
      <c r="B37" s="10" t="n">
        <v>27</v>
      </c>
      <c r="C37" s="11" t="inlineStr">
        <is>
          <t>[T-202] TAVAN 8mm Sektör (POZ 3 ×4)  |  Kesim + Konik Bükme  (Küçük sektör)</t>
        </is>
      </c>
      <c r="D37" s="10" t="n">
        <v>4</v>
      </c>
      <c r="E37" s="12" t="inlineStr">
        <is>
          <t>1500×8×548</t>
        </is>
      </c>
      <c r="F37" s="10" t="n">
        <v>38.3</v>
      </c>
      <c r="G37" s="10" t="n">
        <v>153.2</v>
      </c>
      <c r="H37" s="8" t="inlineStr"/>
      <c r="I37" s="8" t="inlineStr"/>
      <c r="J37" s="10">
        <f>G37*H37</f>
        <v/>
      </c>
      <c r="K37" s="10">
        <f>G37*I37</f>
        <v/>
      </c>
      <c r="L37" s="9">
        <f>J37+K37</f>
        <v/>
      </c>
    </row>
    <row r="38" ht="20" customHeight="1">
      <c r="B38" s="5" t="n">
        <v>28</v>
      </c>
      <c r="C38" s="6" t="inlineStr">
        <is>
          <t>[T-202] TAVAN 8mm Sektör (POZ 4 ×4)  |  Kesim + Konik Bükme</t>
        </is>
      </c>
      <c r="D38" s="5" t="n">
        <v>4</v>
      </c>
      <c r="E38" s="7" t="inlineStr">
        <is>
          <t>1500×8×3196</t>
        </is>
      </c>
      <c r="F38" s="5" t="n">
        <v>269.3</v>
      </c>
      <c r="G38" s="5" t="n">
        <v>1077.2</v>
      </c>
      <c r="H38" s="8" t="inlineStr"/>
      <c r="I38" s="8" t="inlineStr"/>
      <c r="J38" s="5">
        <f>G38*H38</f>
        <v/>
      </c>
      <c r="K38" s="5">
        <f>G38*I38</f>
        <v/>
      </c>
      <c r="L38" s="9">
        <f>J38+K38</f>
        <v/>
      </c>
    </row>
    <row r="39" ht="20" customHeight="1">
      <c r="B39" s="10" t="n">
        <v>29</v>
      </c>
      <c r="C39" s="11" t="inlineStr">
        <is>
          <t>[T-202] TAVAN 8mm Sektör (POZ 5 ×2)  |  Kesim + Konik Bükme</t>
        </is>
      </c>
      <c r="D39" s="10" t="n">
        <v>2</v>
      </c>
      <c r="E39" s="12" t="inlineStr">
        <is>
          <t>1500×8×2873</t>
        </is>
      </c>
      <c r="F39" s="10" t="n">
        <v>257.3</v>
      </c>
      <c r="G39" s="10" t="n">
        <v>514.6</v>
      </c>
      <c r="H39" s="8" t="inlineStr"/>
      <c r="I39" s="8" t="inlineStr"/>
      <c r="J39" s="10">
        <f>G39*H39</f>
        <v/>
      </c>
      <c r="K39" s="10">
        <f>G39*I39</f>
        <v/>
      </c>
      <c r="L39" s="9">
        <f>J39+K39</f>
        <v/>
      </c>
    </row>
    <row r="40" ht="20" customHeight="1">
      <c r="B40" s="5" t="n">
        <v>30</v>
      </c>
      <c r="C40" s="6" t="inlineStr">
        <is>
          <t>[T-202] TAVAN 8mm Sektör (POZ 5A)  |  Kesim + Konik Bükme</t>
        </is>
      </c>
      <c r="D40" s="5" t="n">
        <v>1</v>
      </c>
      <c r="E40" s="7" t="inlineStr">
        <is>
          <t>1500×8×2873</t>
        </is>
      </c>
      <c r="F40" s="5" t="n">
        <v>254.5</v>
      </c>
      <c r="G40" s="5" t="n">
        <v>254.5</v>
      </c>
      <c r="H40" s="8" t="inlineStr"/>
      <c r="I40" s="8" t="inlineStr"/>
      <c r="J40" s="5">
        <f>G40*H40</f>
        <v/>
      </c>
      <c r="K40" s="5">
        <f>G40*I40</f>
        <v/>
      </c>
      <c r="L40" s="9">
        <f>J40+K40</f>
        <v/>
      </c>
    </row>
    <row r="41" ht="20" customHeight="1">
      <c r="B41" s="10" t="n">
        <v>31</v>
      </c>
      <c r="C41" s="11" t="inlineStr">
        <is>
          <t>[T-202] TAVAN 8mm Sektör (POZ 5B)  |  Kesim + Konik Bükme</t>
        </is>
      </c>
      <c r="D41" s="10" t="n">
        <v>1</v>
      </c>
      <c r="E41" s="12" t="inlineStr">
        <is>
          <t>1500×8×2873</t>
        </is>
      </c>
      <c r="F41" s="10" t="n">
        <v>254.5</v>
      </c>
      <c r="G41" s="10" t="n">
        <v>254.5</v>
      </c>
      <c r="H41" s="8" t="inlineStr"/>
      <c r="I41" s="8" t="inlineStr"/>
      <c r="J41" s="10">
        <f>G41*H41</f>
        <v/>
      </c>
      <c r="K41" s="10">
        <f>G41*I41</f>
        <v/>
      </c>
      <c r="L41" s="9">
        <f>J41+K41</f>
        <v/>
      </c>
    </row>
    <row r="42" ht="20" customHeight="1">
      <c r="B42" s="5" t="n">
        <v>32</v>
      </c>
      <c r="C42" s="6" t="inlineStr">
        <is>
          <t>[T-202] TAVAN 8mm Sektör (POZ 6 ×3)  |  Kesim + Konik Bükme</t>
        </is>
      </c>
      <c r="D42" s="5" t="n">
        <v>3</v>
      </c>
      <c r="E42" s="7" t="inlineStr">
        <is>
          <t>1500×8×2546</t>
        </is>
      </c>
      <c r="F42" s="5" t="n">
        <v>208</v>
      </c>
      <c r="G42" s="5" t="n">
        <v>624</v>
      </c>
      <c r="H42" s="8" t="inlineStr"/>
      <c r="I42" s="8" t="inlineStr"/>
      <c r="J42" s="5">
        <f>G42*H42</f>
        <v/>
      </c>
      <c r="K42" s="5">
        <f>G42*I42</f>
        <v/>
      </c>
      <c r="L42" s="9">
        <f>J42+K42</f>
        <v/>
      </c>
    </row>
    <row r="43" ht="20" customHeight="1">
      <c r="B43" s="10" t="n">
        <v>33</v>
      </c>
      <c r="C43" s="11" t="inlineStr">
        <is>
          <t>[T-202] TAVAN 8mm Sektör (POZ 6A)  |  Kesim + Konik Bükme</t>
        </is>
      </c>
      <c r="D43" s="10" t="n">
        <v>1</v>
      </c>
      <c r="E43" s="12" t="inlineStr">
        <is>
          <t>1500×8×2546</t>
        </is>
      </c>
      <c r="F43" s="10" t="n">
        <v>190</v>
      </c>
      <c r="G43" s="10" t="n">
        <v>190</v>
      </c>
      <c r="H43" s="8" t="inlineStr"/>
      <c r="I43" s="8" t="inlineStr"/>
      <c r="J43" s="10">
        <f>G43*H43</f>
        <v/>
      </c>
      <c r="K43" s="10">
        <f>G43*I43</f>
        <v/>
      </c>
      <c r="L43" s="9">
        <f>J43+K43</f>
        <v/>
      </c>
    </row>
    <row r="44" ht="20" customHeight="1">
      <c r="B44" s="5" t="n">
        <v>34</v>
      </c>
      <c r="C44" s="6" t="inlineStr">
        <is>
          <t>[T-202] TAVAN 8mm Sektör (POZ 7 ×4)  |  Kesim + Konik Bükme  (Dar sektör, 1000mm en)</t>
        </is>
      </c>
      <c r="D44" s="5" t="n">
        <v>4</v>
      </c>
      <c r="E44" s="7" t="inlineStr">
        <is>
          <t>1000×8×1825</t>
        </is>
      </c>
      <c r="F44" s="5" t="n">
        <v>90.7</v>
      </c>
      <c r="G44" s="5" t="n">
        <v>362.8</v>
      </c>
      <c r="H44" s="8" t="inlineStr"/>
      <c r="I44" s="8" t="inlineStr"/>
      <c r="J44" s="5">
        <f>G44*H44</f>
        <v/>
      </c>
      <c r="K44" s="5">
        <f>G44*I44</f>
        <v/>
      </c>
      <c r="L44" s="9">
        <f>J44+K44</f>
        <v/>
      </c>
    </row>
    <row r="45" ht="20" customHeight="1">
      <c r="B45" s="10" t="n">
        <v>35</v>
      </c>
      <c r="C45" s="11" t="inlineStr">
        <is>
          <t>[T-202] TAVAN 8mm Sektör (POZ 8 ×4)  |  Kesim + Konik Bükme  (Küçük köşe, 1057mm en)</t>
        </is>
      </c>
      <c r="D45" s="10" t="n">
        <v>4</v>
      </c>
      <c r="E45" s="12" t="inlineStr">
        <is>
          <t>1057×8×875</t>
        </is>
      </c>
      <c r="F45" s="10" t="n">
        <v>31</v>
      </c>
      <c r="G45" s="10" t="n">
        <v>124</v>
      </c>
      <c r="H45" s="8" t="inlineStr"/>
      <c r="I45" s="8" t="inlineStr"/>
      <c r="J45" s="10">
        <f>G45*H45</f>
        <v/>
      </c>
      <c r="K45" s="10">
        <f>G45*I45</f>
        <v/>
      </c>
      <c r="L45" s="9">
        <f>J45+K45</f>
        <v/>
      </c>
    </row>
    <row r="46" ht="20" customHeight="1">
      <c r="B46" s="5" t="n">
        <v>36</v>
      </c>
      <c r="C46" s="6" t="inlineStr">
        <is>
          <t>[T-202] TAVAN 8mm Sektör (POZ 9 ×2)  |  Kesim + Konik Bükme</t>
        </is>
      </c>
      <c r="D46" s="5" t="n">
        <v>2</v>
      </c>
      <c r="E46" s="7" t="inlineStr">
        <is>
          <t>1500×8×2911</t>
        </is>
      </c>
      <c r="F46" s="5" t="n">
        <v>272.8</v>
      </c>
      <c r="G46" s="5" t="n">
        <v>545.6</v>
      </c>
      <c r="H46" s="8" t="inlineStr"/>
      <c r="I46" s="8" t="inlineStr"/>
      <c r="J46" s="5">
        <f>G46*H46</f>
        <v/>
      </c>
      <c r="K46" s="5">
        <f>G46*I46</f>
        <v/>
      </c>
      <c r="L46" s="9">
        <f>J46+K46</f>
        <v/>
      </c>
    </row>
    <row r="48" ht="18" customHeight="1">
      <c r="B48" s="4" t="inlineStr">
        <is>
          <t>T-301  ATIK SU TANKI  —  GÖVDE SAC  |  St52-2  (Taban+Tavan: Çizim bekleniyor)</t>
        </is>
      </c>
    </row>
    <row r="49" ht="20" customHeight="1">
      <c r="B49" s="5" t="n">
        <v>37</v>
      </c>
      <c r="C49" s="6" t="inlineStr">
        <is>
          <t>[T-301] GÖVDE 10mm — Kesim + Silindirik Bükme</t>
        </is>
      </c>
      <c r="D49" s="5" t="n">
        <v>3</v>
      </c>
      <c r="E49" s="7" t="inlineStr">
        <is>
          <t>1500×10×6000</t>
        </is>
      </c>
      <c r="F49" s="5" t="n">
        <v>706.5</v>
      </c>
      <c r="G49" s="5" t="n">
        <v>2119.5</v>
      </c>
      <c r="H49" s="8" t="inlineStr"/>
      <c r="I49" s="8" t="inlineStr"/>
      <c r="J49" s="5">
        <f>G49*H49</f>
        <v/>
      </c>
      <c r="K49" s="5">
        <f>G49*I49</f>
        <v/>
      </c>
      <c r="L49" s="9">
        <f>J49+K49</f>
        <v/>
      </c>
    </row>
    <row r="50" ht="20" customHeight="1">
      <c r="B50" s="10" t="n">
        <v>38</v>
      </c>
      <c r="C50" s="11" t="inlineStr">
        <is>
          <t>[T-301] GÖVDE 10mm — Kesim + Silindirik Bükme  (Kapama)</t>
        </is>
      </c>
      <c r="D50" s="10" t="n">
        <v>1</v>
      </c>
      <c r="E50" s="12" t="inlineStr">
        <is>
          <t>1500×10×4000</t>
        </is>
      </c>
      <c r="F50" s="10" t="n">
        <v>471</v>
      </c>
      <c r="G50" s="10" t="n">
        <v>471</v>
      </c>
      <c r="H50" s="8" t="inlineStr"/>
      <c r="I50" s="8" t="inlineStr"/>
      <c r="J50" s="10">
        <f>G50*H50</f>
        <v/>
      </c>
      <c r="K50" s="10">
        <f>G50*I50</f>
        <v/>
      </c>
      <c r="L50" s="9">
        <f>J50+K50</f>
        <v/>
      </c>
    </row>
    <row r="51" ht="20" customHeight="1">
      <c r="B51" s="5" t="n">
        <v>39</v>
      </c>
      <c r="C51" s="6" t="inlineStr">
        <is>
          <t>[T-301] GÖVDE 8mm — Kesim + Silindirik Bükme</t>
        </is>
      </c>
      <c r="D51" s="5" t="n">
        <v>3</v>
      </c>
      <c r="E51" s="7" t="inlineStr">
        <is>
          <t>1500×8×6000</t>
        </is>
      </c>
      <c r="F51" s="5" t="n">
        <v>565.2</v>
      </c>
      <c r="G51" s="5" t="n">
        <v>1695.6</v>
      </c>
      <c r="H51" s="8" t="inlineStr"/>
      <c r="I51" s="8" t="inlineStr"/>
      <c r="J51" s="5">
        <f>G51*H51</f>
        <v/>
      </c>
      <c r="K51" s="5">
        <f>G51*I51</f>
        <v/>
      </c>
      <c r="L51" s="9">
        <f>J51+K51</f>
        <v/>
      </c>
    </row>
    <row r="52" ht="20" customHeight="1">
      <c r="B52" s="10" t="n">
        <v>40</v>
      </c>
      <c r="C52" s="11" t="inlineStr">
        <is>
          <t>[T-301] GÖVDE 8mm — Kesim + Silindirik Bükme  (Kapama)</t>
        </is>
      </c>
      <c r="D52" s="10" t="n">
        <v>1</v>
      </c>
      <c r="E52" s="12" t="inlineStr">
        <is>
          <t>1500×8×4000</t>
        </is>
      </c>
      <c r="F52" s="10" t="n">
        <v>376.8</v>
      </c>
      <c r="G52" s="10" t="n">
        <v>376.8</v>
      </c>
      <c r="H52" s="8" t="inlineStr"/>
      <c r="I52" s="8" t="inlineStr"/>
      <c r="J52" s="10">
        <f>G52*H52</f>
        <v/>
      </c>
      <c r="K52" s="10">
        <f>G52*I52</f>
        <v/>
      </c>
      <c r="L52" s="9">
        <f>J52+K52</f>
        <v/>
      </c>
    </row>
    <row r="53" ht="20" customHeight="1">
      <c r="B53" s="5" t="n">
        <v>41</v>
      </c>
      <c r="C53" s="6" t="inlineStr">
        <is>
          <t>[T-301] GÖVDE 6mm — Kesim + Silindirik Bükme</t>
        </is>
      </c>
      <c r="D53" s="5" t="n">
        <v>12</v>
      </c>
      <c r="E53" s="7" t="inlineStr">
        <is>
          <t>1500×6×6000</t>
        </is>
      </c>
      <c r="F53" s="5" t="n">
        <v>423.9</v>
      </c>
      <c r="G53" s="5" t="n">
        <v>5086.8</v>
      </c>
      <c r="H53" s="8" t="inlineStr"/>
      <c r="I53" s="8" t="inlineStr"/>
      <c r="J53" s="5">
        <f>G53*H53</f>
        <v/>
      </c>
      <c r="K53" s="5">
        <f>G53*I53</f>
        <v/>
      </c>
      <c r="L53" s="9">
        <f>J53+K53</f>
        <v/>
      </c>
    </row>
    <row r="54" ht="20" customHeight="1">
      <c r="B54" s="10" t="n">
        <v>42</v>
      </c>
      <c r="C54" s="11" t="inlineStr">
        <is>
          <t>[T-301] GÖVDE 6mm — Kesim + Silindirik Bükme  (Kapama)</t>
        </is>
      </c>
      <c r="D54" s="10" t="n">
        <v>4</v>
      </c>
      <c r="E54" s="12" t="inlineStr">
        <is>
          <t>1500×6×4000</t>
        </is>
      </c>
      <c r="F54" s="10" t="n">
        <v>282.6</v>
      </c>
      <c r="G54" s="10" t="n">
        <v>1130.4</v>
      </c>
      <c r="H54" s="8" t="inlineStr"/>
      <c r="I54" s="8" t="inlineStr"/>
      <c r="J54" s="10">
        <f>G54*H54</f>
        <v/>
      </c>
      <c r="K54" s="10">
        <f>G54*I54</f>
        <v/>
      </c>
      <c r="L54" s="9">
        <f>J54+K54</f>
        <v/>
      </c>
    </row>
    <row r="55" ht="14" customHeight="1">
      <c r="B55" s="13" t="inlineStr">
        <is>
          <t>★ T-301 taban ve tavan sac listesi: çizimler temin edildiğinde eklenecektir.</t>
        </is>
      </c>
    </row>
    <row r="57" ht="22" customHeight="1">
      <c r="B57" s="14" t="inlineStr">
        <is>
          <t>GENEL TOPLAM  (Bilinen tüm kalemler)</t>
        </is>
      </c>
      <c r="F57" s="1">
        <f>SUM(G4:G56)</f>
        <v/>
      </c>
      <c r="G57" s="1" t="inlineStr"/>
      <c r="H57" s="1" t="inlineStr"/>
      <c r="I57" s="1" t="inlineStr"/>
      <c r="J57" s="1">
        <f>SUM(J4:J56)</f>
        <v/>
      </c>
      <c r="K57" s="1">
        <f>SUM(K4:K56)</f>
        <v/>
      </c>
      <c r="L57" s="1">
        <f>SUM(L4:L56)</f>
        <v/>
      </c>
    </row>
  </sheetData>
  <mergeCells count="11">
    <mergeCell ref="B4:L4"/>
    <mergeCell ref="B57:E57"/>
    <mergeCell ref="B13:L13"/>
    <mergeCell ref="B30:L30"/>
    <mergeCell ref="B48:L48"/>
    <mergeCell ref="B11:L11"/>
    <mergeCell ref="B55:L55"/>
    <mergeCell ref="B2:L2"/>
    <mergeCell ref="B31:L31"/>
    <mergeCell ref="B18:L18"/>
    <mergeCell ref="B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44" customWidth="1" min="4" max="4"/>
    <col width="14" customWidth="1" min="5" max="5"/>
    <col width="14" customWidth="1" min="6" max="6"/>
    <col width="14" customWidth="1" min="7" max="7"/>
    <col width="12" customWidth="1" min="8" max="8"/>
    <col width="26" customWidth="1" min="9" max="9"/>
  </cols>
  <sheetData>
    <row r="1" ht="22" customHeight="1">
      <c r="B1" s="1" t="inlineStr">
        <is>
          <t>T-202  ÜRETİM TANKI  —  GÖVDE PLAKA DETAYI  (Kesim/Bükme Fabrikatörü İçin)</t>
        </is>
      </c>
    </row>
    <row r="2" ht="38" customHeight="1">
      <c r="B2" s="3" t="inlineStr">
        <is>
          <t>POZ</t>
        </is>
      </c>
      <c r="C2" s="3" t="inlineStr">
        <is>
          <t>ADET</t>
        </is>
      </c>
      <c r="D2" s="3" t="inlineStr">
        <is>
          <t>AÇIKLAMA  (En × Kalınlık × Boy)  mm</t>
        </is>
      </c>
      <c r="E2" s="3" t="inlineStr">
        <is>
          <t>MALZEME</t>
        </is>
      </c>
      <c r="F2" s="3" t="inlineStr">
        <is>
          <t>BİRİM Kg</t>
        </is>
      </c>
      <c r="G2" s="3" t="inlineStr">
        <is>
          <t>TOPLAM Kg</t>
        </is>
      </c>
      <c r="H2" s="3" t="inlineStr">
        <is>
          <t>KALINLIK
(mm)</t>
        </is>
      </c>
      <c r="I2" s="3" t="inlineStr">
        <is>
          <t>İŞLEM TÜRÜ</t>
        </is>
      </c>
    </row>
    <row r="3" ht="22" customHeight="1">
      <c r="B3" s="5" t="inlineStr">
        <is>
          <t>1</t>
        </is>
      </c>
      <c r="C3" s="5" t="n">
        <v>1</v>
      </c>
      <c r="D3" s="6" t="inlineStr">
        <is>
          <t>⊏ 1480×8 × 6000</t>
        </is>
      </c>
      <c r="E3" s="5" t="inlineStr">
        <is>
          <t>S275J2</t>
        </is>
      </c>
      <c r="F3" s="5" t="n">
        <v>557.6</v>
      </c>
      <c r="G3" s="5" t="n">
        <v>557.6</v>
      </c>
      <c r="H3" s="5" t="n">
        <v>8</v>
      </c>
      <c r="I3" s="7" t="inlineStr">
        <is>
          <t>Kesim + Silindirik Bükme R=6365mm  |  Nozul N1 (Ø685mm) + N8 kesim var</t>
        </is>
      </c>
    </row>
    <row r="4" ht="22" customHeight="1">
      <c r="B4" s="10" t="inlineStr">
        <is>
          <t>1A</t>
        </is>
      </c>
      <c r="C4" s="10" t="n">
        <v>1</v>
      </c>
      <c r="D4" s="11" t="inlineStr">
        <is>
          <t>⊏ 1480×8 × 6000</t>
        </is>
      </c>
      <c r="E4" s="10" t="inlineStr">
        <is>
          <t>S275J2</t>
        </is>
      </c>
      <c r="F4" s="10" t="n">
        <v>557</v>
      </c>
      <c r="G4" s="10" t="n">
        <v>557</v>
      </c>
      <c r="H4" s="10" t="n">
        <v>8</v>
      </c>
      <c r="I4" s="12" t="inlineStr">
        <is>
          <t>Kesim + Silindirik Bükme R=6365mm</t>
        </is>
      </c>
    </row>
    <row r="5" ht="22" customHeight="1">
      <c r="B5" s="5" t="inlineStr">
        <is>
          <t>1B</t>
        </is>
      </c>
      <c r="C5" s="5" t="n">
        <v>1</v>
      </c>
      <c r="D5" s="6" t="inlineStr">
        <is>
          <t>⊏ 1480×8 × 6000</t>
        </is>
      </c>
      <c r="E5" s="5" t="inlineStr">
        <is>
          <t>S275J2</t>
        </is>
      </c>
      <c r="F5" s="5" t="n">
        <v>552.3</v>
      </c>
      <c r="G5" s="5" t="n">
        <v>552.3</v>
      </c>
      <c r="H5" s="5" t="n">
        <v>8</v>
      </c>
      <c r="I5" s="7" t="inlineStr">
        <is>
          <t>Kesim + Silindirik Bükme R=6365mm  |  Küçük nozul kesimi var</t>
        </is>
      </c>
    </row>
    <row r="6" ht="22" customHeight="1">
      <c r="B6" s="10" t="inlineStr">
        <is>
          <t>1C</t>
        </is>
      </c>
      <c r="C6" s="10" t="n">
        <v>1</v>
      </c>
      <c r="D6" s="11" t="inlineStr">
        <is>
          <t>⊏ 1480×8 × 6000</t>
        </is>
      </c>
      <c r="E6" s="10" t="inlineStr">
        <is>
          <t>S275J2</t>
        </is>
      </c>
      <c r="F6" s="10" t="n">
        <v>539.1</v>
      </c>
      <c r="G6" s="10" t="n">
        <v>539.1</v>
      </c>
      <c r="H6" s="10" t="n">
        <v>8</v>
      </c>
      <c r="I6" s="12" t="inlineStr">
        <is>
          <t>Kesim + Silindirik Bükme R=6365mm  |  Drain nozul N7 kesimi var</t>
        </is>
      </c>
    </row>
    <row r="7" ht="22" customHeight="1">
      <c r="B7" s="5" t="inlineStr">
        <is>
          <t>1D</t>
        </is>
      </c>
      <c r="C7" s="5" t="n">
        <v>1</v>
      </c>
      <c r="D7" s="6" t="inlineStr">
        <is>
          <t>⊏ 1480×8 × 6000</t>
        </is>
      </c>
      <c r="E7" s="5" t="inlineStr">
        <is>
          <t>S275J2</t>
        </is>
      </c>
      <c r="F7" s="5" t="n">
        <v>414</v>
      </c>
      <c r="G7" s="5" t="n">
        <v>414</v>
      </c>
      <c r="H7" s="5" t="n">
        <v>8</v>
      </c>
      <c r="I7" s="7" t="inlineStr">
        <is>
          <t>Kesim + Silindirik Bükme R=6365mm  |  Manhole M1 Ø1255mm kesimi var  ⚠</t>
        </is>
      </c>
    </row>
    <row r="8" ht="22" customHeight="1">
      <c r="B8" s="10" t="inlineStr">
        <is>
          <t>1E</t>
        </is>
      </c>
      <c r="C8" s="10" t="n">
        <v>1</v>
      </c>
      <c r="D8" s="11" t="inlineStr">
        <is>
          <t>⊏ 1480×8 × 6000</t>
        </is>
      </c>
      <c r="E8" s="10" t="inlineStr">
        <is>
          <t>S275J2</t>
        </is>
      </c>
      <c r="F8" s="10" t="n">
        <v>557.6</v>
      </c>
      <c r="G8" s="10" t="n">
        <v>557.6</v>
      </c>
      <c r="H8" s="10" t="n">
        <v>8</v>
      </c>
      <c r="I8" s="12" t="inlineStr">
        <is>
          <t>Kesim + Silindirik Bükme R=6365mm</t>
        </is>
      </c>
    </row>
    <row r="9" ht="22" customHeight="1">
      <c r="B9" s="5" t="inlineStr">
        <is>
          <t>2</t>
        </is>
      </c>
      <c r="C9" s="5" t="n">
        <v>1</v>
      </c>
      <c r="D9" s="6" t="inlineStr">
        <is>
          <t>⊏ 1480×8 × 3997</t>
        </is>
      </c>
      <c r="E9" s="5" t="inlineStr">
        <is>
          <t>S275J2</t>
        </is>
      </c>
      <c r="F9" s="5" t="n">
        <v>371.5</v>
      </c>
      <c r="G9" s="5" t="n">
        <v>371.5</v>
      </c>
      <c r="H9" s="5" t="n">
        <v>8</v>
      </c>
      <c r="I9" s="7" t="inlineStr">
        <is>
          <t>Kesim + Silindirik Bükme R=6365mm  (Kapama plakası, kısa boy)</t>
        </is>
      </c>
    </row>
    <row r="10" ht="22" customHeight="1">
      <c r="B10" s="10" t="inlineStr">
        <is>
          <t>3</t>
        </is>
      </c>
      <c r="C10" s="10" t="n">
        <v>30</v>
      </c>
      <c r="D10" s="11" t="inlineStr">
        <is>
          <t>⊏ 1480×6 × 6000</t>
        </is>
      </c>
      <c r="E10" s="10" t="inlineStr">
        <is>
          <t>S275J2</t>
        </is>
      </c>
      <c r="F10" s="10" t="n">
        <v>418.2</v>
      </c>
      <c r="G10" s="10" t="n">
        <v>12546</v>
      </c>
      <c r="H10" s="10" t="n">
        <v>6</v>
      </c>
      <c r="I10" s="12" t="inlineStr">
        <is>
          <t>Kesim + Silindirik Bükme R=6365mm  (Standart — nozul kesimi yok)</t>
        </is>
      </c>
    </row>
    <row r="11" ht="22" customHeight="1">
      <c r="B11" s="5" t="inlineStr">
        <is>
          <t>3A</t>
        </is>
      </c>
      <c r="C11" s="5" t="n">
        <v>1</v>
      </c>
      <c r="D11" s="6" t="inlineStr">
        <is>
          <t>⊏ 1480×6 × 6000</t>
        </is>
      </c>
      <c r="E11" s="5" t="inlineStr">
        <is>
          <t>S275J2</t>
        </is>
      </c>
      <c r="F11" s="5" t="n">
        <v>418</v>
      </c>
      <c r="G11" s="5" t="n">
        <v>418</v>
      </c>
      <c r="H11" s="5" t="n">
        <v>6</v>
      </c>
      <c r="I11" s="7" t="inlineStr">
        <is>
          <t>Kesim + Silindirik Bükme R=6365mm  (Kapama)</t>
        </is>
      </c>
    </row>
    <row r="12" ht="18" customHeight="1">
      <c r="B12" s="15" t="inlineStr">
        <is>
          <t>GÖVDE TOPLAM AĞIRLIK:</t>
        </is>
      </c>
      <c r="G12" s="16" t="n">
        <v>16513</v>
      </c>
      <c r="H12" s="16" t="inlineStr"/>
      <c r="I12" s="16" t="inlineStr"/>
    </row>
    <row r="14" ht="18" customHeight="1">
      <c r="B14" s="4" t="inlineStr">
        <is>
          <t>KURS (COURSE) ÖZETİ  —  Silindirik Bükme Radyüsü: R=6365mm  (D=12730mm)</t>
        </is>
      </c>
    </row>
    <row r="15" ht="30" customHeight="1">
      <c r="B15" s="3" t="inlineStr">
        <is>
          <t>KURS</t>
        </is>
      </c>
    </row>
    <row r="16" ht="30" customHeight="1">
      <c r="C16" s="3" t="inlineStr">
        <is>
          <t>KALINLIK</t>
        </is>
      </c>
    </row>
    <row r="17" ht="30" customHeight="1">
      <c r="D17" s="3" t="inlineStr">
        <is>
          <t>YÜKSEKLİK (mm)</t>
        </is>
      </c>
    </row>
    <row r="18" ht="30" customHeight="1">
      <c r="E18" s="3" t="inlineStr">
        <is>
          <t>ADET</t>
        </is>
      </c>
    </row>
    <row r="19" ht="30" customHeight="1">
      <c r="F19" s="3" t="inlineStr">
        <is>
          <t>AÇIKLAMA</t>
        </is>
      </c>
    </row>
    <row r="20" ht="30" customHeight="1">
      <c r="G20" s="3" t="inlineStr">
        <is>
          <t>MALZEME</t>
        </is>
      </c>
    </row>
    <row r="21" ht="30" customHeight="1">
      <c r="H21" s="3" t="inlineStr">
        <is>
          <t>AĞIRLIK (kg)</t>
        </is>
      </c>
    </row>
    <row r="22" ht="18" customHeight="1">
      <c r="B22" s="10" t="inlineStr">
        <is>
          <t>1. Kurs (Alt)</t>
        </is>
      </c>
      <c r="C22" s="10" t="inlineStr">
        <is>
          <t>8 mm</t>
        </is>
      </c>
      <c r="D22" s="10" t="n">
        <v>1480</v>
      </c>
      <c r="E22" s="10" t="inlineStr">
        <is>
          <t>7 adet</t>
        </is>
      </c>
      <c r="F22" s="10" t="inlineStr">
        <is>
          <t>POZ 1,1A,1B,1C,1D,1E,2 — Nozul/Manhole kesimli</t>
        </is>
      </c>
      <c r="G22" s="10" t="inlineStr">
        <is>
          <t>S275J2</t>
        </is>
      </c>
      <c r="H22" s="10" t="n">
        <v>3549.1</v>
      </c>
    </row>
    <row r="23" ht="18" customHeight="1">
      <c r="B23" s="5" t="inlineStr">
        <is>
          <t>2–6. Kurslar</t>
        </is>
      </c>
      <c r="C23" s="5" t="inlineStr">
        <is>
          <t>6 mm</t>
        </is>
      </c>
      <c r="D23" s="5" t="n">
        <v>1480</v>
      </c>
      <c r="E23" s="5" t="inlineStr">
        <is>
          <t>31 adet</t>
        </is>
      </c>
      <c r="F23" s="5" t="inlineStr">
        <is>
          <t>POZ 3×30 + POZ 3A×1 — Standart silindirik</t>
        </is>
      </c>
      <c r="G23" s="5" t="inlineStr">
        <is>
          <t>S275J2</t>
        </is>
      </c>
      <c r="H23" s="5" t="n">
        <v>12964</v>
      </c>
    </row>
  </sheetData>
  <mergeCells count="3">
    <mergeCell ref="B1:I1"/>
    <mergeCell ref="B12:F12"/>
    <mergeCell ref="B14:I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44" customWidth="1" min="4" max="4"/>
    <col width="14" customWidth="1" min="5" max="5"/>
    <col width="14" customWidth="1" min="6" max="6"/>
    <col width="14" customWidth="1" min="7" max="7"/>
    <col width="12" customWidth="1" min="8" max="8"/>
    <col width="26" customWidth="1" min="9" max="9"/>
  </cols>
  <sheetData>
    <row r="1" ht="22" customHeight="1">
      <c r="B1" s="1" t="inlineStr">
        <is>
          <t>T-201 TAŞIRMA TANKI  —  GÖVDE / TABAN / TAVAN PLAKA DETAYI</t>
        </is>
      </c>
    </row>
    <row r="2" ht="36" customHeight="1">
      <c r="B2" s="3" t="inlineStr">
        <is>
          <t>POZ</t>
        </is>
      </c>
      <c r="C2" s="3" t="inlineStr">
        <is>
          <t>ADET</t>
        </is>
      </c>
      <c r="D2" s="3" t="inlineStr">
        <is>
          <t>AÇIKLAMA</t>
        </is>
      </c>
      <c r="E2" s="3" t="inlineStr">
        <is>
          <t>MALZEME</t>
        </is>
      </c>
      <c r="F2" s="3" t="inlineStr">
        <is>
          <t>BİRİM Kg</t>
        </is>
      </c>
      <c r="G2" s="3" t="inlineStr">
        <is>
          <t>TOPLAM Kg</t>
        </is>
      </c>
      <c r="H2" s="3" t="inlineStr">
        <is>
          <t>KALINLIK (mm)</t>
        </is>
      </c>
      <c r="I2" s="3" t="inlineStr">
        <is>
          <t>İŞLEM TÜRÜ</t>
        </is>
      </c>
    </row>
    <row r="3" ht="30" customHeight="1">
      <c r="B3" s="17" t="inlineStr">
        <is>
          <t>★  T-201 TAŞIRMA TANKI çizimleri temin edildiğinde bu sayfa doldurulacaktır.</t>
        </is>
      </c>
    </row>
  </sheetData>
  <mergeCells count="2">
    <mergeCell ref="B1:I1"/>
    <mergeCell ref="B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44" customWidth="1" min="4" max="4"/>
    <col width="14" customWidth="1" min="5" max="5"/>
    <col width="14" customWidth="1" min="6" max="6"/>
    <col width="14" customWidth="1" min="7" max="7"/>
    <col width="12" customWidth="1" min="8" max="8"/>
    <col width="26" customWidth="1" min="9" max="9"/>
  </cols>
  <sheetData>
    <row r="1" ht="22" customHeight="1">
      <c r="B1" s="1" t="inlineStr">
        <is>
          <t>T-301 ATIK SU TANKI  —  GÖVDE / TABAN / TAVAN PLAKA DETAYI</t>
        </is>
      </c>
    </row>
    <row r="2" ht="36" customHeight="1">
      <c r="B2" s="3" t="inlineStr">
        <is>
          <t>POZ</t>
        </is>
      </c>
      <c r="C2" s="3" t="inlineStr">
        <is>
          <t>ADET</t>
        </is>
      </c>
      <c r="D2" s="3" t="inlineStr">
        <is>
          <t>AÇIKLAMA</t>
        </is>
      </c>
      <c r="E2" s="3" t="inlineStr">
        <is>
          <t>MALZEME</t>
        </is>
      </c>
      <c r="F2" s="3" t="inlineStr">
        <is>
          <t>BİRİM Kg</t>
        </is>
      </c>
      <c r="G2" s="3" t="inlineStr">
        <is>
          <t>TOPLAM Kg</t>
        </is>
      </c>
      <c r="H2" s="3" t="inlineStr">
        <is>
          <t>KALINLIK (mm)</t>
        </is>
      </c>
      <c r="I2" s="3" t="inlineStr">
        <is>
          <t>İŞLEM TÜRÜ</t>
        </is>
      </c>
    </row>
    <row r="3" ht="30" customHeight="1">
      <c r="B3" s="17" t="inlineStr">
        <is>
          <t>★  T-301 ATIK SU TANKI çizimleri temin edildiğinde bu sayfa doldurulacaktır.</t>
        </is>
      </c>
    </row>
  </sheetData>
  <mergeCells count="2">
    <mergeCell ref="B1:I1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2026-06-05T11:48:30Z</dcterms:created>
  <dcterms:modified xsi:type="dcterms:W3CDTF">2026-06-05T11:48:31Z</dcterms:modified>
</cp:coreProperties>
</file>