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840" tabRatio="600" firstSheet="0" activeTab="0" autoFilterDateGrouping="1"/>
  </bookViews>
  <sheets>
    <sheet name="TEKLIF" sheetId="1" state="visible" r:id="rId1"/>
    <sheet name="TAŞIRMA" sheetId="2" state="visible" r:id="rId2"/>
    <sheet name="ÜRETİM" sheetId="3" state="visible" r:id="rId3"/>
    <sheet name="ATIKSU" sheetId="4" state="visible" r:id="rId4"/>
  </sheets>
  <definedNames>
    <definedName name="_xlnm.Print_Area" localSheetId="0">'TEKLIF'!$A$1:$J$44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2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sz val="9"/>
    </font>
    <font>
      <b val="1"/>
      <color rgb="00FFFFFF"/>
      <sz val="11"/>
    </font>
    <font>
      <b val="1"/>
      <color rgb="00CC0000"/>
      <sz val="9"/>
    </font>
    <font>
      <b val="1"/>
      <color rgb="001F4E79"/>
      <sz val="10"/>
    </font>
    <font>
      <b val="1"/>
      <color rgb="00000000"/>
      <sz val="10"/>
    </font>
    <font>
      <sz val="10"/>
    </font>
    <font>
      <sz val="9"/>
    </font>
    <font>
      <b val="1"/>
      <color rgb="00FFFFFF"/>
      <sz val="10"/>
    </font>
    <font>
      <b val="1"/>
      <color rgb="00CC0000"/>
      <sz val="10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99"/>
      </patternFill>
    </fill>
    <fill>
      <patternFill patternType="solid">
        <fgColor rgb="00BDD7EE"/>
      </patternFill>
    </fill>
    <fill>
      <patternFill patternType="solid">
        <fgColor rgb="0092D050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2E75B6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7" fillId="3" borderId="10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9" fillId="5" borderId="10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1" fillId="6" borderId="10" applyAlignment="1" pivotButton="0" quotePrefix="0" xfId="0">
      <alignment horizontal="left" vertical="center" wrapText="1"/>
    </xf>
    <xf numFmtId="0" fontId="11" fillId="6" borderId="10" applyAlignment="1" pivotButton="0" quotePrefix="0" xfId="0">
      <alignment horizontal="center" vertical="center" wrapText="1"/>
    </xf>
    <xf numFmtId="0" fontId="10" fillId="3" borderId="10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8" borderId="10" applyAlignment="1" pivotButton="0" quotePrefix="0" xfId="0">
      <alignment horizontal="center" vertical="center" wrapText="1"/>
    </xf>
    <xf numFmtId="0" fontId="11" fillId="8" borderId="10" applyAlignment="1" pivotButton="0" quotePrefix="0" xfId="0">
      <alignment horizontal="left" vertical="center" wrapText="1"/>
    </xf>
    <xf numFmtId="0" fontId="11" fillId="8" borderId="10" applyAlignment="1" pivotButton="0" quotePrefix="0" xfId="0">
      <alignment horizontal="center" vertical="center" wrapText="1"/>
    </xf>
    <xf numFmtId="0" fontId="12" fillId="2" borderId="10" applyAlignment="1" pivotButton="0" quotePrefix="0" xfId="0">
      <alignment horizontal="right" vertical="center"/>
    </xf>
    <xf numFmtId="0" fontId="12" fillId="2" borderId="10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center" vertical="center" wrapText="1"/>
    </xf>
    <xf numFmtId="0" fontId="9" fillId="10" borderId="10" applyAlignment="1" pivotButton="0" quotePrefix="0" xfId="0">
      <alignment horizontal="center" vertical="center" wrapText="1"/>
    </xf>
    <xf numFmtId="0" fontId="12" fillId="2" borderId="9" applyAlignment="1" pivotButton="0" quotePrefix="0" xfId="0">
      <alignment horizontal="right" vertical="center"/>
    </xf>
    <xf numFmtId="0" fontId="12" fillId="2" borderId="9" applyAlignment="1" pivotButton="0" quotePrefix="0" xfId="0">
      <alignment horizontal="center" vertical="center" wrapText="1"/>
    </xf>
    <xf numFmtId="0" fontId="12" fillId="11" borderId="10" applyAlignment="1" pivotButton="0" quotePrefix="0" xfId="0">
      <alignment horizontal="center" vertical="center" wrapText="1"/>
    </xf>
    <xf numFmtId="0" fontId="13" fillId="12" borderId="1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121"/>
  <sheetViews>
    <sheetView showGridLines="0" tabSelected="1" view="pageBreakPreview" zoomScale="115" zoomScaleNormal="100" zoomScaleSheetLayoutView="115" workbookViewId="0">
      <pane xSplit="2" ySplit="3" topLeftCell="C4" activePane="bottomRight" state="frozen"/>
      <selection pane="topRight"/>
      <selection pane="bottomLeft"/>
      <selection pane="bottomRight" activeCell="D16" sqref="D16"/>
    </sheetView>
  </sheetViews>
  <sheetFormatPr baseColWidth="8" defaultRowHeight="15"/>
  <cols>
    <col width="3" customWidth="1" style="1" min="1" max="1"/>
    <col width="6" customWidth="1" style="1" min="2" max="2"/>
    <col width="52" customWidth="1" style="1" min="3" max="3"/>
    <col width="9" customWidth="1" style="1" min="4" max="4"/>
    <col width="22" customWidth="1" style="1" min="5" max="5"/>
    <col width="12" customWidth="1" style="1" min="6" max="9"/>
    <col width="13" customWidth="1" min="7" max="7"/>
    <col width="12" customWidth="1" min="8" max="8"/>
    <col width="12" customWidth="1" min="9" max="9"/>
    <col width="14" customWidth="1" style="1" min="10" max="10"/>
    <col width="14" customWidth="1" style="1" min="11" max="16384"/>
    <col width="16" customWidth="1" min="12" max="12"/>
  </cols>
  <sheetData>
    <row r="1" ht="26" customHeight="1">
      <c r="B1" s="12" t="inlineStr">
        <is>
          <t>TANK SATINALMA SİPARİŞ TABLOSU  —  SAC / PLAKA METRAJİ  (3 TANK)</t>
        </is>
      </c>
    </row>
    <row r="2" ht="18" customHeight="1">
      <c r="B2" s="13" t="inlineStr">
        <is>
          <t>Sac Malzemecisi → Kolon H (Malzeme Birim Fiyatı $/kg) doldurun.   Kesim/Büküm Fabrikatörü → Kolon I (İşçilik $/kg) doldurun.</t>
        </is>
      </c>
    </row>
    <row r="3" ht="38" customHeight="1">
      <c r="C3" s="14" t="inlineStr">
        <is>
          <t>S.NO</t>
        </is>
      </c>
      <c r="D3" s="14" t="inlineStr">
        <is>
          <t>TANIM  /  İŞLEM TÜRÜ</t>
        </is>
      </c>
      <c r="E3" s="14" t="inlineStr">
        <is>
          <t>ADET</t>
        </is>
      </c>
      <c r="F3" s="14" t="inlineStr">
        <is>
          <t>BOYUT (mm)</t>
        </is>
      </c>
      <c r="G3" s="14" t="inlineStr">
        <is>
          <t>BİRİM
Kg</t>
        </is>
      </c>
      <c r="H3" s="14" t="inlineStr">
        <is>
          <t>TOPLAM
Kg</t>
        </is>
      </c>
      <c r="I3" s="14" t="inlineStr">
        <is>
          <t>MAT. FİYAT
★($/kg)</t>
        </is>
      </c>
      <c r="J3" s="14" t="inlineStr">
        <is>
          <t>İŞÇİLİK
★($/kg)</t>
        </is>
      </c>
      <c r="K3" s="14" t="inlineStr">
        <is>
          <t>MAT. TUTARI
($)</t>
        </is>
      </c>
      <c r="L3" s="14" t="inlineStr">
        <is>
          <t>İŞÇİLİK
($)</t>
        </is>
      </c>
      <c r="M3" s="14" t="inlineStr">
        <is>
          <t>TOPLAM
($)</t>
        </is>
      </c>
    </row>
    <row r="4" ht="20" customHeight="1">
      <c r="B4" s="15" t="inlineStr">
        <is>
          <t>T-201  TAŞIRMA TANKI (25,000 BBL)  —  GÖVDE SAC  |  S275J2  |  TOPLAM GÖVDE: 63,030 kg</t>
        </is>
      </c>
    </row>
    <row r="5" ht="16" customHeight="1">
      <c r="B5" s="16" t="n">
        <v>1</v>
      </c>
      <c r="C5" s="17" t="inlineStr">
        <is>
          <t>[T-201]  GÖVDE 12mm — POZ 1 — Kesim + Silindirik Bükme</t>
        </is>
      </c>
      <c r="D5" s="16" t="n">
        <v>1</v>
      </c>
      <c r="E5" s="18" t="inlineStr">
        <is>
          <t>1500×12×12000</t>
        </is>
      </c>
      <c r="F5" s="16" t="n">
        <v>1698</v>
      </c>
      <c r="G5" s="16" t="n">
        <v>1698</v>
      </c>
      <c r="H5" s="19" t="inlineStr"/>
      <c r="I5" s="19" t="inlineStr"/>
      <c r="J5" s="16">
        <f>G5*H5</f>
        <v/>
      </c>
      <c r="K5" s="16">
        <f>G5*I5</f>
        <v/>
      </c>
      <c r="L5" s="20">
        <f>J5+K5</f>
        <v/>
      </c>
    </row>
    <row r="6" ht="16" customHeight="1">
      <c r="B6" s="21" t="n">
        <v>2</v>
      </c>
      <c r="C6" s="22" t="inlineStr">
        <is>
          <t>[T-201]  GÖVDE 12mm — POZ 2 — Kesim + Silindirik Bükme</t>
        </is>
      </c>
      <c r="D6" s="21" t="n">
        <v>1</v>
      </c>
      <c r="E6" s="23" t="inlineStr">
        <is>
          <t>1500×12×12000</t>
        </is>
      </c>
      <c r="F6" s="21" t="n">
        <v>1698</v>
      </c>
      <c r="G6" s="21" t="n">
        <v>1698</v>
      </c>
      <c r="H6" s="19" t="inlineStr"/>
      <c r="I6" s="19" t="inlineStr"/>
      <c r="J6" s="21">
        <f>G6*H6</f>
        <v/>
      </c>
      <c r="K6" s="21">
        <f>G6*I6</f>
        <v/>
      </c>
      <c r="L6" s="20">
        <f>J6+K6</f>
        <v/>
      </c>
    </row>
    <row r="7" ht="16" customHeight="1">
      <c r="B7" s="16" t="n">
        <v>3</v>
      </c>
      <c r="C7" s="17" t="inlineStr">
        <is>
          <t>[T-201]  GÖVDE 12mm — POZ 3 — Kesim + Silindirik Bükme</t>
        </is>
      </c>
      <c r="D7" s="16" t="n">
        <v>1</v>
      </c>
      <c r="E7" s="18" t="inlineStr">
        <is>
          <t>1500×12×12000</t>
        </is>
      </c>
      <c r="F7" s="16" t="n">
        <v>1698</v>
      </c>
      <c r="G7" s="16" t="n">
        <v>1698</v>
      </c>
      <c r="H7" s="19" t="inlineStr"/>
      <c r="I7" s="19" t="inlineStr"/>
      <c r="J7" s="16">
        <f>G7*H7</f>
        <v/>
      </c>
      <c r="K7" s="16">
        <f>G7*I7</f>
        <v/>
      </c>
      <c r="L7" s="20">
        <f>J7+K7</f>
        <v/>
      </c>
    </row>
    <row r="8" ht="16" customHeight="1">
      <c r="B8" s="21" t="n">
        <v>4</v>
      </c>
      <c r="C8" s="22" t="inlineStr">
        <is>
          <t>[T-201]  GÖVDE 12mm — POZ 4 — Kesim + Silindirik Bükme</t>
        </is>
      </c>
      <c r="D8" s="21" t="n">
        <v>1</v>
      </c>
      <c r="E8" s="23" t="inlineStr">
        <is>
          <t>1500×12×12000</t>
        </is>
      </c>
      <c r="F8" s="21" t="n">
        <v>1698</v>
      </c>
      <c r="G8" s="21" t="n">
        <v>1698</v>
      </c>
      <c r="H8" s="19" t="inlineStr"/>
      <c r="I8" s="19" t="inlineStr"/>
      <c r="J8" s="21">
        <f>G8*H8</f>
        <v/>
      </c>
      <c r="K8" s="21">
        <f>G8*I8</f>
        <v/>
      </c>
      <c r="L8" s="20">
        <f>J8+K8</f>
        <v/>
      </c>
    </row>
    <row r="9" ht="16" customHeight="1">
      <c r="B9" s="16" t="n">
        <v>5</v>
      </c>
      <c r="C9" s="17" t="inlineStr">
        <is>
          <t>[T-201]  GÖVDE 12mm — POZ 5 — Kesim + Silindirik Bükme (kapama)</t>
        </is>
      </c>
      <c r="D9" s="16" t="n">
        <v>1</v>
      </c>
      <c r="E9" s="18" t="inlineStr">
        <is>
          <t>1500×12×11678</t>
        </is>
      </c>
      <c r="F9" s="16" t="n">
        <v>1652</v>
      </c>
      <c r="G9" s="16" t="n">
        <v>1652</v>
      </c>
      <c r="H9" s="19" t="inlineStr"/>
      <c r="I9" s="19" t="inlineStr"/>
      <c r="J9" s="16">
        <f>G9*H9</f>
        <v/>
      </c>
      <c r="K9" s="16">
        <f>G9*I9</f>
        <v/>
      </c>
      <c r="L9" s="20">
        <f>J9+K9</f>
        <v/>
      </c>
    </row>
    <row r="10" ht="16" customHeight="1">
      <c r="B10" s="21" t="n">
        <v>6</v>
      </c>
      <c r="C10" s="22" t="inlineStr">
        <is>
          <t>[T-201]  GÖVDE 12mm — POZ 6 ×3 — Kesim + Silindirik Bükme</t>
        </is>
      </c>
      <c r="D10" s="21" t="n">
        <v>3</v>
      </c>
      <c r="E10" s="23" t="inlineStr">
        <is>
          <t>1500×12×12000</t>
        </is>
      </c>
      <c r="F10" s="21" t="n">
        <v>1698</v>
      </c>
      <c r="G10" s="21" t="n">
        <v>5094</v>
      </c>
      <c r="H10" s="19" t="inlineStr"/>
      <c r="I10" s="19" t="inlineStr"/>
      <c r="J10" s="21">
        <f>G10*H10</f>
        <v/>
      </c>
      <c r="K10" s="21">
        <f>G10*I10</f>
        <v/>
      </c>
      <c r="L10" s="20">
        <f>J10+K10</f>
        <v/>
      </c>
    </row>
    <row r="11" ht="16" customHeight="1">
      <c r="B11" s="16" t="n">
        <v>7</v>
      </c>
      <c r="C11" s="17" t="inlineStr">
        <is>
          <t>[T-201]  GÖVDE 12mm — POZ 7 — Kesim + Silindirik Bükme</t>
        </is>
      </c>
      <c r="D11" s="16" t="n">
        <v>1</v>
      </c>
      <c r="E11" s="18" t="inlineStr">
        <is>
          <t>1500×12×12000</t>
        </is>
      </c>
      <c r="F11" s="16" t="n">
        <v>1698</v>
      </c>
      <c r="G11" s="16" t="n">
        <v>1698</v>
      </c>
      <c r="H11" s="19" t="inlineStr"/>
      <c r="I11" s="19" t="inlineStr"/>
      <c r="J11" s="16">
        <f>G11*H11</f>
        <v/>
      </c>
      <c r="K11" s="16">
        <f>G11*I11</f>
        <v/>
      </c>
      <c r="L11" s="20">
        <f>J11+K11</f>
        <v/>
      </c>
    </row>
    <row r="12" ht="16" customHeight="1">
      <c r="B12" s="21" t="n">
        <v>8</v>
      </c>
      <c r="C12" s="22" t="inlineStr">
        <is>
          <t>[T-201]  GÖVDE 12mm — POZ 8 — Kesim + Silindirik Bükme (kapama)</t>
        </is>
      </c>
      <c r="D12" s="21" t="n">
        <v>1</v>
      </c>
      <c r="E12" s="23" t="inlineStr">
        <is>
          <t>1500×12×11678</t>
        </is>
      </c>
      <c r="F12" s="21" t="n">
        <v>1652</v>
      </c>
      <c r="G12" s="21" t="n">
        <v>1652</v>
      </c>
      <c r="H12" s="19" t="inlineStr"/>
      <c r="I12" s="19" t="inlineStr"/>
      <c r="J12" s="21">
        <f>G12*H12</f>
        <v/>
      </c>
      <c r="K12" s="21">
        <f>G12*I12</f>
        <v/>
      </c>
      <c r="L12" s="20">
        <f>J12+K12</f>
        <v/>
      </c>
    </row>
    <row r="13" ht="16" customHeight="1">
      <c r="B13" s="16" t="n">
        <v>9</v>
      </c>
      <c r="C13" s="17" t="inlineStr">
        <is>
          <t>[T-201]  GÖVDE 10mm — POZ 9 ×10 — Kesim + Silindirik Bükme</t>
        </is>
      </c>
      <c r="D13" s="16" t="n">
        <v>10</v>
      </c>
      <c r="E13" s="18" t="inlineStr">
        <is>
          <t>1500×10×12000</t>
        </is>
      </c>
      <c r="F13" s="16" t="n">
        <v>1415</v>
      </c>
      <c r="G13" s="16" t="n">
        <v>14150</v>
      </c>
      <c r="H13" s="19" t="inlineStr"/>
      <c r="I13" s="19" t="inlineStr"/>
      <c r="J13" s="16">
        <f>G13*H13</f>
        <v/>
      </c>
      <c r="K13" s="16">
        <f>G13*I13</f>
        <v/>
      </c>
      <c r="L13" s="20">
        <f>J13+K13</f>
        <v/>
      </c>
    </row>
    <row r="14" ht="16" customHeight="1">
      <c r="B14" s="21" t="n">
        <v>10</v>
      </c>
      <c r="C14" s="22" t="inlineStr">
        <is>
          <t>[T-201]  GÖVDE 10mm — POZ 10 ×3 — Kesim + Silindirik Bükme (kapama)</t>
        </is>
      </c>
      <c r="D14" s="21" t="n">
        <v>3</v>
      </c>
      <c r="E14" s="23" t="inlineStr">
        <is>
          <t>1500×10×11678</t>
        </is>
      </c>
      <c r="F14" s="21" t="n">
        <v>1377</v>
      </c>
      <c r="G14" s="21" t="n">
        <v>4131</v>
      </c>
      <c r="H14" s="19" t="inlineStr"/>
      <c r="I14" s="19" t="inlineStr"/>
      <c r="J14" s="21">
        <f>G14*H14</f>
        <v/>
      </c>
      <c r="K14" s="21">
        <f>G14*I14</f>
        <v/>
      </c>
      <c r="L14" s="20">
        <f>J14+K14</f>
        <v/>
      </c>
    </row>
    <row r="15" ht="16" customHeight="1">
      <c r="B15" s="16" t="n">
        <v>11</v>
      </c>
      <c r="C15" s="17" t="inlineStr">
        <is>
          <t>[T-201]  GÖVDE 10mm — POZ 11 — Kesim + Silindirik Bükme</t>
        </is>
      </c>
      <c r="D15" s="16" t="n">
        <v>1</v>
      </c>
      <c r="E15" s="18" t="inlineStr">
        <is>
          <t>1500×10×12000</t>
        </is>
      </c>
      <c r="F15" s="16" t="n">
        <v>1415</v>
      </c>
      <c r="G15" s="16" t="n">
        <v>1415</v>
      </c>
      <c r="H15" s="19" t="inlineStr"/>
      <c r="I15" s="19" t="inlineStr"/>
      <c r="J15" s="16">
        <f>G15*H15</f>
        <v/>
      </c>
      <c r="K15" s="16">
        <f>G15*I15</f>
        <v/>
      </c>
      <c r="L15" s="20">
        <f>J15+K15</f>
        <v/>
      </c>
    </row>
    <row r="16" ht="16" customHeight="1">
      <c r="B16" s="21" t="n">
        <v>12</v>
      </c>
      <c r="C16" s="22" t="inlineStr">
        <is>
          <t>[T-201]  GÖVDE 10mm — POZ 12 — Kesim + Silindirik Bükme</t>
        </is>
      </c>
      <c r="D16" s="21" t="n">
        <v>1</v>
      </c>
      <c r="E16" s="23" t="inlineStr">
        <is>
          <t>1500×10×12000</t>
        </is>
      </c>
      <c r="F16" s="21" t="n">
        <v>1415</v>
      </c>
      <c r="G16" s="21" t="n">
        <v>1415</v>
      </c>
      <c r="H16" s="19" t="inlineStr"/>
      <c r="I16" s="19" t="inlineStr"/>
      <c r="J16" s="21">
        <f>G16*H16</f>
        <v/>
      </c>
      <c r="K16" s="21">
        <f>G16*I16</f>
        <v/>
      </c>
      <c r="L16" s="20">
        <f>J16+K16</f>
        <v/>
      </c>
    </row>
    <row r="17" ht="16" customHeight="1">
      <c r="B17" s="16" t="n">
        <v>13</v>
      </c>
      <c r="C17" s="17" t="inlineStr">
        <is>
          <t>[T-201]  GÖVDE 8mm  — POZ 13 ×9 — Kesim + Silindirik Bükme</t>
        </is>
      </c>
      <c r="D17" s="16" t="n">
        <v>9</v>
      </c>
      <c r="E17" s="18" t="inlineStr">
        <is>
          <t>1500×8×12000</t>
        </is>
      </c>
      <c r="F17" s="16" t="n">
        <v>1132</v>
      </c>
      <c r="G17" s="16" t="n">
        <v>10188</v>
      </c>
      <c r="H17" s="19" t="inlineStr"/>
      <c r="I17" s="19" t="inlineStr"/>
      <c r="J17" s="16">
        <f>G17*H17</f>
        <v/>
      </c>
      <c r="K17" s="16">
        <f>G17*I17</f>
        <v/>
      </c>
      <c r="L17" s="20">
        <f>J17+K17</f>
        <v/>
      </c>
    </row>
    <row r="18" ht="16" customHeight="1">
      <c r="B18" s="21" t="n">
        <v>14</v>
      </c>
      <c r="C18" s="22" t="inlineStr">
        <is>
          <t>[T-201]  GÖVDE 8mm  — POZ 14 — Kesim + Silindirik Bükme</t>
        </is>
      </c>
      <c r="D18" s="21" t="n">
        <v>1</v>
      </c>
      <c r="E18" s="23" t="inlineStr">
        <is>
          <t>1500×8×12000</t>
        </is>
      </c>
      <c r="F18" s="21" t="n">
        <v>1132</v>
      </c>
      <c r="G18" s="21" t="n">
        <v>1132</v>
      </c>
      <c r="H18" s="19" t="inlineStr"/>
      <c r="I18" s="19" t="inlineStr"/>
      <c r="J18" s="21">
        <f>G18*H18</f>
        <v/>
      </c>
      <c r="K18" s="21">
        <f>G18*I18</f>
        <v/>
      </c>
      <c r="L18" s="20">
        <f>J18+K18</f>
        <v/>
      </c>
    </row>
    <row r="19" ht="16" customHeight="1">
      <c r="B19" s="16" t="n">
        <v>15</v>
      </c>
      <c r="C19" s="17" t="inlineStr">
        <is>
          <t>[T-201]  GÖVDE 8mm  — POZ 15 ×3 — Kesim + Silindirik Bükme (kapama)</t>
        </is>
      </c>
      <c r="D19" s="16" t="n">
        <v>3</v>
      </c>
      <c r="E19" s="18" t="inlineStr">
        <is>
          <t>1500×8×11678</t>
        </is>
      </c>
      <c r="F19" s="16" t="n">
        <v>1102</v>
      </c>
      <c r="G19" s="16" t="n">
        <v>3306</v>
      </c>
      <c r="H19" s="19" t="inlineStr"/>
      <c r="I19" s="19" t="inlineStr"/>
      <c r="J19" s="16">
        <f>G19*H19</f>
        <v/>
      </c>
      <c r="K19" s="16">
        <f>G19*I19</f>
        <v/>
      </c>
      <c r="L19" s="20">
        <f>J19+K19</f>
        <v/>
      </c>
    </row>
    <row r="20" ht="16" customHeight="1">
      <c r="B20" s="21" t="n">
        <v>16</v>
      </c>
      <c r="C20" s="22" t="inlineStr">
        <is>
          <t>[T-201]  GÖVDE 8mm  — POZ 16 — Kesim + Silindirik Bükme</t>
        </is>
      </c>
      <c r="D20" s="21" t="n">
        <v>1</v>
      </c>
      <c r="E20" s="23" t="inlineStr">
        <is>
          <t>1500×8×12000</t>
        </is>
      </c>
      <c r="F20" s="21" t="n">
        <v>1132</v>
      </c>
      <c r="G20" s="21" t="n">
        <v>1132</v>
      </c>
      <c r="H20" s="19" t="inlineStr"/>
      <c r="I20" s="19" t="inlineStr"/>
      <c r="J20" s="21">
        <f>G20*H20</f>
        <v/>
      </c>
      <c r="K20" s="21">
        <f>G20*I20</f>
        <v/>
      </c>
      <c r="L20" s="20">
        <f>J20+K20</f>
        <v/>
      </c>
    </row>
    <row r="21" ht="16" customHeight="1">
      <c r="B21" s="16" t="n">
        <v>17</v>
      </c>
      <c r="C21" s="17" t="inlineStr">
        <is>
          <t>[T-201]  GÖVDE 8mm  — POZ 17 — Kesim + Silindirik Bükme</t>
        </is>
      </c>
      <c r="D21" s="16" t="n">
        <v>1</v>
      </c>
      <c r="E21" s="18" t="inlineStr">
        <is>
          <t>1500×8×12000</t>
        </is>
      </c>
      <c r="F21" s="16" t="n">
        <v>1132</v>
      </c>
      <c r="G21" s="16" t="n">
        <v>1132</v>
      </c>
      <c r="H21" s="19" t="inlineStr"/>
      <c r="I21" s="19" t="inlineStr"/>
      <c r="J21" s="16">
        <f>G21*H21</f>
        <v/>
      </c>
      <c r="K21" s="16">
        <f>G21*I21</f>
        <v/>
      </c>
      <c r="L21" s="20">
        <f>J21+K21</f>
        <v/>
      </c>
    </row>
    <row r="22" ht="16" customHeight="1">
      <c r="B22" s="21" t="n">
        <v>18</v>
      </c>
      <c r="C22" s="22" t="inlineStr">
        <is>
          <t>[T-201]  GÖVDE 10mm — POZ 18 — Kesim + Silindirik Bükme</t>
        </is>
      </c>
      <c r="D22" s="21" t="n">
        <v>1</v>
      </c>
      <c r="E22" s="23" t="inlineStr">
        <is>
          <t>1500×10×12000</t>
        </is>
      </c>
      <c r="F22" s="21" t="n">
        <v>1415</v>
      </c>
      <c r="G22" s="21" t="n">
        <v>1415</v>
      </c>
      <c r="H22" s="19" t="inlineStr"/>
      <c r="I22" s="19" t="inlineStr"/>
      <c r="J22" s="21">
        <f>G22*H22</f>
        <v/>
      </c>
      <c r="K22" s="21">
        <f>G22*I22</f>
        <v/>
      </c>
      <c r="L22" s="20">
        <f>J22+K22</f>
        <v/>
      </c>
    </row>
    <row r="23" ht="16" customHeight="1">
      <c r="B23" s="16" t="n">
        <v>19</v>
      </c>
      <c r="C23" s="17" t="inlineStr">
        <is>
          <t>[T-201]  GÖVDE Detay — POZ 19 ×40 — Kesim (Düz, takviye parçası)</t>
        </is>
      </c>
      <c r="D23" s="16" t="n">
        <v>40</v>
      </c>
      <c r="E23" s="18" t="inlineStr">
        <is>
          <t>225×10×245</t>
        </is>
      </c>
      <c r="F23" s="16" t="n">
        <v>3</v>
      </c>
      <c r="G23" s="16" t="n">
        <v>120</v>
      </c>
      <c r="H23" s="19" t="inlineStr"/>
      <c r="I23" s="19" t="inlineStr"/>
      <c r="J23" s="16">
        <f>G23*H23</f>
        <v/>
      </c>
      <c r="K23" s="16">
        <f>G23*I23</f>
        <v/>
      </c>
      <c r="L23" s="20">
        <f>J23+K23</f>
        <v/>
      </c>
    </row>
    <row r="24" ht="16" customHeight="1">
      <c r="B24" s="21" t="n">
        <v>20</v>
      </c>
      <c r="C24" s="22" t="inlineStr">
        <is>
          <t>[T-201]  GÖVDE 10mm — POZ 20 — Kesim + Silindirik Bükme (kapama)</t>
        </is>
      </c>
      <c r="D24" s="21" t="n">
        <v>1</v>
      </c>
      <c r="E24" s="23" t="inlineStr">
        <is>
          <t>1500×10×10250</t>
        </is>
      </c>
      <c r="F24" s="21" t="n">
        <v>1208</v>
      </c>
      <c r="G24" s="21" t="n">
        <v>1208</v>
      </c>
      <c r="H24" s="19" t="inlineStr"/>
      <c r="I24" s="19" t="inlineStr"/>
      <c r="J24" s="21">
        <f>G24*H24</f>
        <v/>
      </c>
      <c r="K24" s="21">
        <f>G24*I24</f>
        <v/>
      </c>
      <c r="L24" s="20">
        <f>J24+K24</f>
        <v/>
      </c>
    </row>
    <row r="25" ht="16" customHeight="1">
      <c r="B25" s="16" t="n">
        <v>21</v>
      </c>
      <c r="C25" s="17" t="inlineStr">
        <is>
          <t>[T-201]  GÖVDE 10mm — POZ 20A — Kesim + Silindirik Bükme (kapama)</t>
        </is>
      </c>
      <c r="D25" s="16" t="n">
        <v>1</v>
      </c>
      <c r="E25" s="18" t="inlineStr">
        <is>
          <t>1500×10×5050</t>
        </is>
      </c>
      <c r="F25" s="16" t="n">
        <v>595</v>
      </c>
      <c r="G25" s="16" t="n">
        <v>595</v>
      </c>
      <c r="H25" s="19" t="inlineStr"/>
      <c r="I25" s="19" t="inlineStr"/>
      <c r="J25" s="16">
        <f>G25*H25</f>
        <v/>
      </c>
      <c r="K25" s="16">
        <f>G25*I25</f>
        <v/>
      </c>
      <c r="L25" s="20">
        <f>J25+K25</f>
        <v/>
      </c>
    </row>
    <row r="26" ht="16" customHeight="1">
      <c r="B26" s="21" t="n">
        <v>22</v>
      </c>
      <c r="C26" s="22" t="inlineStr">
        <is>
          <t>[T-201]  GÖVDE 10mm — POZ 21 ×5 — Kesim (RF/Yapısal)</t>
        </is>
      </c>
      <c r="D26" s="21" t="n">
        <v>5</v>
      </c>
      <c r="E26" s="23" t="inlineStr">
        <is>
          <t>425×10×12000</t>
        </is>
      </c>
      <c r="F26" s="21" t="n">
        <v>401</v>
      </c>
      <c r="G26" s="21" t="n">
        <v>2005</v>
      </c>
      <c r="H26" s="19" t="inlineStr"/>
      <c r="I26" s="19" t="inlineStr"/>
      <c r="J26" s="21">
        <f>G26*H26</f>
        <v/>
      </c>
      <c r="K26" s="21">
        <f>G26*I26</f>
        <v/>
      </c>
      <c r="L26" s="20">
        <f>J26+K26</f>
        <v/>
      </c>
    </row>
    <row r="27" ht="16" customHeight="1">
      <c r="B27" s="16" t="n">
        <v>23</v>
      </c>
      <c r="C27" s="17" t="inlineStr">
        <is>
          <t>[T-201]  GÖVDE 10mm — POZ 22 — Kesim (RF/Yapısal kapama)</t>
        </is>
      </c>
      <c r="D27" s="16" t="n">
        <v>1</v>
      </c>
      <c r="E27" s="18" t="inlineStr">
        <is>
          <t>425×10×11644</t>
        </is>
      </c>
      <c r="F27" s="16" t="n">
        <v>389</v>
      </c>
      <c r="G27" s="16" t="n">
        <v>389</v>
      </c>
      <c r="H27" s="19" t="inlineStr"/>
      <c r="I27" s="19" t="inlineStr"/>
      <c r="J27" s="16">
        <f>G27*H27</f>
        <v/>
      </c>
      <c r="K27" s="16">
        <f>G27*I27</f>
        <v/>
      </c>
      <c r="L27" s="20">
        <f>J27+K27</f>
        <v/>
      </c>
    </row>
    <row r="28" ht="16" customHeight="1">
      <c r="B28" s="21" t="n">
        <v>24</v>
      </c>
      <c r="C28" s="22" t="inlineStr">
        <is>
          <t>[T-201]  GÖVDE Profil — POZ 23 ×5 — Kesim (L profil, 12m çubuk)</t>
        </is>
      </c>
      <c r="D28" s="21" t="n">
        <v>5</v>
      </c>
      <c r="E28" s="23" t="inlineStr">
        <is>
          <t>L160×160×15×12000</t>
        </is>
      </c>
      <c r="F28" s="21" t="n">
        <v>480</v>
      </c>
      <c r="G28" s="21" t="n">
        <v>2400</v>
      </c>
      <c r="H28" s="19" t="inlineStr"/>
      <c r="I28" s="19" t="inlineStr"/>
      <c r="J28" s="21">
        <f>G28*H28</f>
        <v/>
      </c>
      <c r="K28" s="21">
        <f>G28*I28</f>
        <v/>
      </c>
      <c r="L28" s="20">
        <f>J28+K28</f>
        <v/>
      </c>
    </row>
    <row r="29" ht="16" customHeight="1">
      <c r="B29" s="16" t="n">
        <v>25</v>
      </c>
      <c r="C29" s="17" t="inlineStr">
        <is>
          <t>[T-201]  GÖVDE Profil — POZ 24 — Kesim (L profil, kapama)</t>
        </is>
      </c>
      <c r="D29" s="16" t="n">
        <v>1</v>
      </c>
      <c r="E29" s="18" t="inlineStr">
        <is>
          <t>L160×160×15×231</t>
        </is>
      </c>
      <c r="F29" s="16" t="n">
        <v>9</v>
      </c>
      <c r="G29" s="16" t="n">
        <v>9</v>
      </c>
      <c r="H29" s="19" t="inlineStr"/>
      <c r="I29" s="19" t="inlineStr"/>
      <c r="J29" s="16">
        <f>G29*H29</f>
        <v/>
      </c>
      <c r="K29" s="16">
        <f>G29*I29</f>
        <v/>
      </c>
      <c r="L29" s="20">
        <f>J29+K29</f>
        <v/>
      </c>
    </row>
    <row r="30" ht="16" customHeight="1">
      <c r="B30" s="21" t="n">
        <v>26</v>
      </c>
      <c r="C30" s="22" t="inlineStr">
        <is>
          <t>[T-201]  GÖVDE Bağlantı — POZ 25 ×5 — 1/4" NPT PLUG — Tedarik (ASTM A 105)</t>
        </is>
      </c>
      <c r="D30" s="21" t="n">
        <v>5</v>
      </c>
      <c r="E30" s="23" t="inlineStr">
        <is>
          <t>1/4" NPT PLUG</t>
        </is>
      </c>
      <c r="F30" s="21" t="inlineStr">
        <is>
          <t>—</t>
        </is>
      </c>
      <c r="G30" s="21" t="inlineStr">
        <is>
          <t>—</t>
        </is>
      </c>
      <c r="H30" s="19" t="inlineStr"/>
      <c r="I30" s="19" t="inlineStr"/>
      <c r="J30" s="21" t="inlineStr"/>
      <c r="K30" s="21" t="inlineStr"/>
      <c r="L30" s="20" t="inlineStr"/>
    </row>
    <row r="31">
      <c r="B31" s="24" t="inlineStr">
        <is>
          <t>T-201 GÖVDE TOPLAM AĞIRLIK:</t>
        </is>
      </c>
      <c r="G31" s="25" t="n">
        <v>63030</v>
      </c>
    </row>
    <row r="32" ht="20" customHeight="1">
      <c r="B32" s="15" t="inlineStr">
        <is>
          <t>T-201  TAŞIRMA TANKI  —  TABAN SAC  |  S275J2  |  TOPLAM TABAN: 15,959 kg</t>
        </is>
      </c>
    </row>
    <row r="33" ht="16" customHeight="1">
      <c r="B33" s="16" t="n">
        <v>27</v>
      </c>
      <c r="C33" s="17" t="inlineStr">
        <is>
          <t>[T-201]  TABAN 14mm Annüler/Çevre — POZ 1 ×8 — Kesim</t>
        </is>
      </c>
      <c r="D33" s="16" t="n">
        <v>8</v>
      </c>
      <c r="E33" s="18" t="inlineStr">
        <is>
          <t>1475×14×6606</t>
        </is>
      </c>
      <c r="F33" s="16" t="n">
        <v>670</v>
      </c>
      <c r="G33" s="16" t="n">
        <v>5360</v>
      </c>
      <c r="H33" s="19" t="inlineStr"/>
      <c r="I33" s="19" t="inlineStr"/>
      <c r="J33" s="16">
        <f>G33*H33</f>
        <v/>
      </c>
      <c r="K33" s="16">
        <f>G33*I33</f>
        <v/>
      </c>
      <c r="L33" s="20">
        <f>J33+K33</f>
        <v/>
      </c>
    </row>
    <row r="34" ht="16" customHeight="1">
      <c r="B34" s="21" t="n">
        <v>28</v>
      </c>
      <c r="C34" s="22" t="inlineStr">
        <is>
          <t>[T-201]  TABAN 14mm Annüler/Çevre — POZ 2 — Kesim (kapama)</t>
        </is>
      </c>
      <c r="D34" s="21" t="n">
        <v>1</v>
      </c>
      <c r="E34" s="23" t="inlineStr">
        <is>
          <t>1475×14×6606</t>
        </is>
      </c>
      <c r="F34" s="21" t="n">
        <v>537</v>
      </c>
      <c r="G34" s="21" t="n">
        <v>537</v>
      </c>
      <c r="H34" s="19" t="inlineStr"/>
      <c r="I34" s="19" t="inlineStr"/>
      <c r="J34" s="21">
        <f>G34*H34</f>
        <v/>
      </c>
      <c r="K34" s="21">
        <f>G34*I34</f>
        <v/>
      </c>
      <c r="L34" s="20">
        <f>J34+K34</f>
        <v/>
      </c>
    </row>
    <row r="35" ht="16" customHeight="1">
      <c r="B35" s="16" t="n">
        <v>29</v>
      </c>
      <c r="C35" s="17" t="inlineStr">
        <is>
          <t>[T-201]  TABAN 12mm Orta Plaka — POZ 3 ×9 — Kesim</t>
        </is>
      </c>
      <c r="D35" s="16" t="n">
        <v>9</v>
      </c>
      <c r="E35" s="18" t="inlineStr">
        <is>
          <t>1500×12×6000</t>
        </is>
      </c>
      <c r="F35" s="16" t="n">
        <v>849</v>
      </c>
      <c r="G35" s="16" t="n">
        <v>7641</v>
      </c>
      <c r="H35" s="19" t="inlineStr"/>
      <c r="I35" s="19" t="inlineStr"/>
      <c r="J35" s="16">
        <f>G35*H35</f>
        <v/>
      </c>
      <c r="K35" s="16">
        <f>G35*I35</f>
        <v/>
      </c>
      <c r="L35" s="20">
        <f>J35+K35</f>
        <v/>
      </c>
    </row>
    <row r="36" ht="16" customHeight="1">
      <c r="B36" s="21" t="n">
        <v>30</v>
      </c>
      <c r="C36" s="22" t="inlineStr">
        <is>
          <t>[T-201]  TABAN 12mm Orta Plaka — POZ 4 ×2 — Kesim</t>
        </is>
      </c>
      <c r="D36" s="21" t="n">
        <v>2</v>
      </c>
      <c r="E36" s="23" t="inlineStr">
        <is>
          <t>1500×12×6000</t>
        </is>
      </c>
      <c r="F36" s="21" t="n">
        <v>849</v>
      </c>
      <c r="G36" s="21" t="n">
        <v>1698</v>
      </c>
      <c r="H36" s="19" t="inlineStr"/>
      <c r="I36" s="19" t="inlineStr"/>
      <c r="J36" s="21">
        <f>G36*H36</f>
        <v/>
      </c>
      <c r="K36" s="21">
        <f>G36*I36</f>
        <v/>
      </c>
      <c r="L36" s="20">
        <f>J36+K36</f>
        <v/>
      </c>
    </row>
    <row r="37" ht="16" customHeight="1">
      <c r="B37" s="16" t="n">
        <v>31</v>
      </c>
      <c r="C37" s="17" t="inlineStr">
        <is>
          <t>[T-201]  TABAN 12mm Orta Plaka — POZ 5 ×2 — Kesim (köşe)</t>
        </is>
      </c>
      <c r="D37" s="16" t="n">
        <v>2</v>
      </c>
      <c r="E37" s="18" t="inlineStr">
        <is>
          <t>441×12×5472</t>
        </is>
      </c>
      <c r="F37" s="16" t="n">
        <v>114</v>
      </c>
      <c r="G37" s="16" t="n">
        <v>228</v>
      </c>
      <c r="H37" s="19" t="inlineStr"/>
      <c r="I37" s="19" t="inlineStr"/>
      <c r="J37" s="16">
        <f>G37*H37</f>
        <v/>
      </c>
      <c r="K37" s="16">
        <f>G37*I37</f>
        <v/>
      </c>
      <c r="L37" s="20">
        <f>J37+K37</f>
        <v/>
      </c>
    </row>
    <row r="38" ht="16" customHeight="1">
      <c r="B38" s="21" t="n">
        <v>32</v>
      </c>
      <c r="C38" s="22" t="inlineStr">
        <is>
          <t>[T-201]  TABAN 12mm Orta Plaka — POZ 6 ×2 — Kesim</t>
        </is>
      </c>
      <c r="D38" s="21" t="n">
        <v>2</v>
      </c>
      <c r="E38" s="23" t="inlineStr">
        <is>
          <t>1500×12×5706</t>
        </is>
      </c>
      <c r="F38" s="21" t="n">
        <v>651</v>
      </c>
      <c r="G38" s="21" t="n">
        <v>1302</v>
      </c>
      <c r="H38" s="19" t="inlineStr"/>
      <c r="I38" s="19" t="inlineStr"/>
      <c r="J38" s="21">
        <f>G38*H38</f>
        <v/>
      </c>
      <c r="K38" s="21">
        <f>G38*I38</f>
        <v/>
      </c>
      <c r="L38" s="20">
        <f>J38+K38</f>
        <v/>
      </c>
    </row>
    <row r="39" ht="16" customHeight="1">
      <c r="B39" s="16" t="n">
        <v>33</v>
      </c>
      <c r="C39" s="17" t="inlineStr">
        <is>
          <t>[T-201]  TABAN 12mm Orta Plaka — POZ 7 ×4 — Kesim</t>
        </is>
      </c>
      <c r="D39" s="16" t="n">
        <v>4</v>
      </c>
      <c r="E39" s="18" t="inlineStr">
        <is>
          <t>1500×12×5673</t>
        </is>
      </c>
      <c r="F39" s="16" t="n">
        <v>788</v>
      </c>
      <c r="G39" s="16" t="n">
        <v>3152</v>
      </c>
      <c r="H39" s="19" t="inlineStr"/>
      <c r="I39" s="19" t="inlineStr"/>
      <c r="J39" s="16">
        <f>G39*H39</f>
        <v/>
      </c>
      <c r="K39" s="16">
        <f>G39*I39</f>
        <v/>
      </c>
      <c r="L39" s="20">
        <f>J39+K39</f>
        <v/>
      </c>
    </row>
    <row r="40" ht="16" customHeight="1">
      <c r="B40" s="21" t="n">
        <v>34</v>
      </c>
      <c r="C40" s="22" t="inlineStr">
        <is>
          <t>[T-201]  TABAN 12mm Orta Plaka — POZ 8 ×4 — Kesim</t>
        </is>
      </c>
      <c r="D40" s="21" t="n">
        <v>4</v>
      </c>
      <c r="E40" s="23" t="inlineStr">
        <is>
          <t>1500×12×5409</t>
        </is>
      </c>
      <c r="F40" s="21" t="n">
        <v>758</v>
      </c>
      <c r="G40" s="21" t="n">
        <v>3032</v>
      </c>
      <c r="H40" s="19" t="inlineStr"/>
      <c r="I40" s="19" t="inlineStr"/>
      <c r="J40" s="21">
        <f>G40*H40</f>
        <v/>
      </c>
      <c r="K40" s="21">
        <f>G40*I40</f>
        <v/>
      </c>
      <c r="L40" s="20">
        <f>J40+K40</f>
        <v/>
      </c>
    </row>
    <row r="41" ht="16" customHeight="1">
      <c r="B41" s="16" t="n">
        <v>35</v>
      </c>
      <c r="C41" s="17" t="inlineStr">
        <is>
          <t>[T-201]  TABAN 12mm Orta Plaka — POZ 9 ×4 — Kesim</t>
        </is>
      </c>
      <c r="D41" s="16" t="n">
        <v>4</v>
      </c>
      <c r="E41" s="18" t="inlineStr">
        <is>
          <t>1500×12×4853</t>
        </is>
      </c>
      <c r="F41" s="16" t="n">
        <v>675</v>
      </c>
      <c r="G41" s="16" t="n">
        <v>2700</v>
      </c>
      <c r="H41" s="19" t="inlineStr"/>
      <c r="I41" s="19" t="inlineStr"/>
      <c r="J41" s="16">
        <f>G41*H41</f>
        <v/>
      </c>
      <c r="K41" s="16">
        <f>G41*I41</f>
        <v/>
      </c>
      <c r="L41" s="20">
        <f>J41+K41</f>
        <v/>
      </c>
    </row>
    <row r="42" ht="16" customHeight="1">
      <c r="B42" s="21" t="n">
        <v>36</v>
      </c>
      <c r="C42" s="22" t="inlineStr">
        <is>
          <t>[T-201]  TABAN 12mm Orta Plaka — POZ 10 ×4 — Kesim</t>
        </is>
      </c>
      <c r="D42" s="21" t="n">
        <v>4</v>
      </c>
      <c r="E42" s="23" t="inlineStr">
        <is>
          <t>1500×12×3937</t>
        </is>
      </c>
      <c r="F42" s="21" t="n">
        <v>462</v>
      </c>
      <c r="G42" s="21" t="n">
        <v>1848</v>
      </c>
      <c r="H42" s="19" t="inlineStr"/>
      <c r="I42" s="19" t="inlineStr"/>
      <c r="J42" s="21">
        <f>G42*H42</f>
        <v/>
      </c>
      <c r="K42" s="21">
        <f>G42*I42</f>
        <v/>
      </c>
      <c r="L42" s="20">
        <f>J42+K42</f>
        <v/>
      </c>
    </row>
    <row r="43" ht="16" customHeight="1">
      <c r="B43" s="16" t="n">
        <v>37</v>
      </c>
      <c r="C43" s="17" t="inlineStr">
        <is>
          <t>[T-201]  TABAN 12mm Orta Plaka — POZ 11 ×4 — Kesim</t>
        </is>
      </c>
      <c r="D43" s="16" t="n">
        <v>4</v>
      </c>
      <c r="E43" s="18" t="inlineStr">
        <is>
          <t>1410×12×2482</t>
        </is>
      </c>
      <c r="F43" s="16" t="n">
        <v>186</v>
      </c>
      <c r="G43" s="16" t="n">
        <v>744</v>
      </c>
      <c r="H43" s="19" t="inlineStr"/>
      <c r="I43" s="19" t="inlineStr"/>
      <c r="J43" s="16">
        <f>G43*H43</f>
        <v/>
      </c>
      <c r="K43" s="16">
        <f>G43*I43</f>
        <v/>
      </c>
      <c r="L43" s="20">
        <f>J43+K43</f>
        <v/>
      </c>
    </row>
    <row r="44" ht="16" customHeight="1">
      <c r="B44" s="21" t="n">
        <v>38</v>
      </c>
      <c r="C44" s="22" t="inlineStr">
        <is>
          <t>[T-201]  TABAN 6mm Drenaj Şerit — POZ 12 — Kesim (261m strip, atık sacdan)</t>
        </is>
      </c>
      <c r="D44" s="21" t="n">
        <v>1</v>
      </c>
      <c r="E44" s="23" t="inlineStr">
        <is>
          <t>50×6×261000</t>
        </is>
      </c>
      <c r="F44" s="21" t="n">
        <v>626</v>
      </c>
      <c r="G44" s="21" t="n">
        <v>626</v>
      </c>
      <c r="H44" s="19" t="inlineStr"/>
      <c r="I44" s="19" t="inlineStr"/>
      <c r="J44" s="21">
        <f>G44*H44</f>
        <v/>
      </c>
      <c r="K44" s="21">
        <f>G44*I44</f>
        <v/>
      </c>
      <c r="L44" s="20">
        <f>J44+K44</f>
        <v/>
      </c>
    </row>
    <row r="45">
      <c r="B45" s="24" t="inlineStr">
        <is>
          <t>T-201 TABAN TOPLAM AĞIRLIK:</t>
        </is>
      </c>
      <c r="G45" s="25" t="n">
        <v>15959</v>
      </c>
    </row>
    <row r="46" ht="20" customHeight="1">
      <c r="B46" s="15" t="inlineStr">
        <is>
          <t>T-201  TAŞIRMA TANKI  —  TAVAN SAC  |  S275J2  |  TOPLAM TAVAN: 18,797 kg</t>
        </is>
      </c>
    </row>
    <row r="47" ht="16" customHeight="1">
      <c r="B47" s="16" t="n">
        <v>39</v>
      </c>
      <c r="C47" s="17" t="inlineStr">
        <is>
          <t>[T-201]  TAVAN 8mm Sektör — POZ 1 ×45 — Kesim + Bükme</t>
        </is>
      </c>
      <c r="D47" s="16" t="n">
        <v>45</v>
      </c>
      <c r="E47" s="18" t="inlineStr">
        <is>
          <t>1300×8×4148</t>
        </is>
      </c>
      <c r="F47" s="16" t="n">
        <v>264</v>
      </c>
      <c r="G47" s="16" t="n">
        <v>11880</v>
      </c>
      <c r="H47" s="19" t="inlineStr"/>
      <c r="I47" s="19" t="inlineStr"/>
      <c r="J47" s="16">
        <f>G47*H47</f>
        <v/>
      </c>
      <c r="K47" s="16">
        <f>G47*I47</f>
        <v/>
      </c>
      <c r="L47" s="20">
        <f>J47+K47</f>
        <v/>
      </c>
    </row>
    <row r="48" ht="16" customHeight="1">
      <c r="B48" s="21" t="n">
        <v>40</v>
      </c>
      <c r="C48" s="22" t="inlineStr">
        <is>
          <t>[T-201]  TAVAN 8mm Sektör — POZ 2 — Kesim + Bükme (kapama)</t>
        </is>
      </c>
      <c r="D48" s="21" t="n">
        <v>1</v>
      </c>
      <c r="E48" s="23" t="inlineStr">
        <is>
          <t>1300×8×4148</t>
        </is>
      </c>
      <c r="F48" s="21" t="n">
        <v>234</v>
      </c>
      <c r="G48" s="21" t="n">
        <v>234</v>
      </c>
      <c r="H48" s="19" t="inlineStr"/>
      <c r="I48" s="19" t="inlineStr"/>
      <c r="J48" s="21">
        <f>G48*H48</f>
        <v/>
      </c>
      <c r="K48" s="21">
        <f>G48*I48</f>
        <v/>
      </c>
      <c r="L48" s="20">
        <f>J48+K48</f>
        <v/>
      </c>
    </row>
    <row r="49" ht="16" customHeight="1">
      <c r="B49" s="16" t="n">
        <v>41</v>
      </c>
      <c r="C49" s="17" t="inlineStr">
        <is>
          <t>[T-201]  TAVAN 8mm Sektör — POZ 3 — Kesim + Bükme</t>
        </is>
      </c>
      <c r="D49" s="16" t="n">
        <v>1</v>
      </c>
      <c r="E49" s="18" t="inlineStr">
        <is>
          <t>1300×8×4148</t>
        </is>
      </c>
      <c r="F49" s="16" t="n">
        <v>264</v>
      </c>
      <c r="G49" s="16" t="n">
        <v>264</v>
      </c>
      <c r="H49" s="19" t="inlineStr"/>
      <c r="I49" s="19" t="inlineStr"/>
      <c r="J49" s="16">
        <f>G49*H49</f>
        <v/>
      </c>
      <c r="K49" s="16">
        <f>G49*I49</f>
        <v/>
      </c>
      <c r="L49" s="20">
        <f>J49+K49</f>
        <v/>
      </c>
    </row>
    <row r="50" ht="16" customHeight="1">
      <c r="B50" s="21" t="n">
        <v>42</v>
      </c>
      <c r="C50" s="22" t="inlineStr">
        <is>
          <t>[T-201]  TAVAN 8mm Sektör — POZ 4 — Kesim + Bükme</t>
        </is>
      </c>
      <c r="D50" s="21" t="n">
        <v>1</v>
      </c>
      <c r="E50" s="23" t="inlineStr">
        <is>
          <t>1300×8×4148</t>
        </is>
      </c>
      <c r="F50" s="21" t="n">
        <v>264</v>
      </c>
      <c r="G50" s="21" t="n">
        <v>264</v>
      </c>
      <c r="H50" s="19" t="inlineStr"/>
      <c r="I50" s="19" t="inlineStr"/>
      <c r="J50" s="21">
        <f>G50*H50</f>
        <v/>
      </c>
      <c r="K50" s="21">
        <f>G50*I50</f>
        <v/>
      </c>
      <c r="L50" s="20">
        <f>J50+K50</f>
        <v/>
      </c>
    </row>
    <row r="51" ht="16" customHeight="1">
      <c r="B51" s="16" t="n">
        <v>43</v>
      </c>
      <c r="C51" s="17" t="inlineStr">
        <is>
          <t>[T-201]  TAVAN 8mm Sektör — POZ 5 ×24 — Kesim + Bükme</t>
        </is>
      </c>
      <c r="D51" s="16" t="n">
        <v>24</v>
      </c>
      <c r="E51" s="18" t="inlineStr">
        <is>
          <t>1466×8×4774</t>
        </is>
      </c>
      <c r="F51" s="16" t="n">
        <v>252</v>
      </c>
      <c r="G51" s="16" t="n">
        <v>6048</v>
      </c>
      <c r="H51" s="19" t="inlineStr"/>
      <c r="I51" s="19" t="inlineStr"/>
      <c r="J51" s="16">
        <f>G51*H51</f>
        <v/>
      </c>
      <c r="K51" s="16">
        <f>G51*I51</f>
        <v/>
      </c>
      <c r="L51" s="20">
        <f>J51+K51</f>
        <v/>
      </c>
    </row>
    <row r="52" ht="16" customHeight="1">
      <c r="B52" s="21" t="n">
        <v>44</v>
      </c>
      <c r="C52" s="22" t="inlineStr">
        <is>
          <t>[T-201]  TAVAN 8mm Merkez Disk — POZ 6 — Kesim (Daire plaka)</t>
        </is>
      </c>
      <c r="D52" s="21" t="n">
        <v>1</v>
      </c>
      <c r="E52" s="23" t="inlineStr">
        <is>
          <t>ø1450×8</t>
        </is>
      </c>
      <c r="F52" s="21" t="n">
        <v>107</v>
      </c>
      <c r="G52" s="21" t="n">
        <v>107</v>
      </c>
      <c r="H52" s="19" t="inlineStr"/>
      <c r="I52" s="19" t="inlineStr"/>
      <c r="J52" s="21">
        <f>G52*H52</f>
        <v/>
      </c>
      <c r="K52" s="21">
        <f>G52*I52</f>
        <v/>
      </c>
      <c r="L52" s="20">
        <f>J52+K52</f>
        <v/>
      </c>
    </row>
    <row r="53">
      <c r="B53" s="24" t="inlineStr">
        <is>
          <t>T-201 TAVAN TOPLAM AĞIRLIK:</t>
        </is>
      </c>
      <c r="G53" s="25" t="n">
        <v>18797</v>
      </c>
    </row>
    <row r="55" ht="20" customHeight="1">
      <c r="B55" s="26" t="inlineStr">
        <is>
          <t>T-202  ÜRETİM TANKI (7,000 BBL)  —  GÖVDE SAC  |  D=12.730m  H=8.920m  |  S275J2  |  TOPLAM GÖVDE: 16,513 kg</t>
        </is>
      </c>
    </row>
    <row r="56" ht="16" customHeight="1">
      <c r="B56" s="16" t="n">
        <v>45</v>
      </c>
      <c r="C56" s="17" t="inlineStr">
        <is>
          <t>[T-202]  GÖVDE 8mm — 1. Kurs (POZ 1,1A,1B,1C,1D,1E ×6) — Kesim + Silindirik Bükme R=6365mm  [Her plakada farklı nozul/manhole kesimi]</t>
        </is>
      </c>
      <c r="D56" s="16" t="n">
        <v>6</v>
      </c>
      <c r="E56" s="18" t="inlineStr">
        <is>
          <t>1480×8×6000</t>
        </is>
      </c>
      <c r="F56" s="16" t="n">
        <v>557.6</v>
      </c>
      <c r="G56" s="16" t="n">
        <v>3345.6</v>
      </c>
      <c r="H56" s="19" t="inlineStr"/>
      <c r="I56" s="19" t="inlineStr"/>
      <c r="J56" s="16">
        <f>G56*H56</f>
        <v/>
      </c>
      <c r="K56" s="16">
        <f>G56*I56</f>
        <v/>
      </c>
      <c r="L56" s="20">
        <f>J56+K56</f>
        <v/>
      </c>
    </row>
    <row r="57" ht="16" customHeight="1">
      <c r="B57" s="21" t="n">
        <v>46</v>
      </c>
      <c r="C57" s="22" t="inlineStr">
        <is>
          <t>[T-202]  GÖVDE 8mm — 1. Kurs Kapama (POZ 2) — Kesim + Silindirik Bükme R=6365mm</t>
        </is>
      </c>
      <c r="D57" s="21" t="n">
        <v>1</v>
      </c>
      <c r="E57" s="23" t="inlineStr">
        <is>
          <t>1480×8×3997</t>
        </is>
      </c>
      <c r="F57" s="21" t="n">
        <v>371.5</v>
      </c>
      <c r="G57" s="21" t="n">
        <v>371.5</v>
      </c>
      <c r="H57" s="19" t="inlineStr"/>
      <c r="I57" s="19" t="inlineStr"/>
      <c r="J57" s="21">
        <f>G57*H57</f>
        <v/>
      </c>
      <c r="K57" s="21">
        <f>G57*I57</f>
        <v/>
      </c>
      <c r="L57" s="20">
        <f>J57+K57</f>
        <v/>
      </c>
    </row>
    <row r="58" ht="16" customHeight="1">
      <c r="B58" s="16" t="n">
        <v>47</v>
      </c>
      <c r="C58" s="17" t="inlineStr">
        <is>
          <t>[T-202]  GÖVDE 6mm — 2–6. Kurs (POZ 3 ×29) — Kesim + Silindirik Bükme R=6365mm</t>
        </is>
      </c>
      <c r="D58" s="16" t="n">
        <v>29</v>
      </c>
      <c r="E58" s="18" t="inlineStr">
        <is>
          <t>1480×6×6000</t>
        </is>
      </c>
      <c r="F58" s="16" t="n">
        <v>418.2</v>
      </c>
      <c r="G58" s="16" t="n">
        <v>12127.8</v>
      </c>
      <c r="H58" s="19" t="inlineStr"/>
      <c r="I58" s="19" t="inlineStr"/>
      <c r="J58" s="16">
        <f>G58*H58</f>
        <v/>
      </c>
      <c r="K58" s="16">
        <f>G58*I58</f>
        <v/>
      </c>
      <c r="L58" s="20">
        <f>J58+K58</f>
        <v/>
      </c>
    </row>
    <row r="59" ht="16" customHeight="1">
      <c r="B59" s="21" t="n">
        <v>48</v>
      </c>
      <c r="C59" s="22" t="inlineStr">
        <is>
          <t>[T-202]  GÖVDE 6mm — 2–6. Kurs Kapama (POZ 3A) — Kesim + Silindirik Bükme R=6365mm</t>
        </is>
      </c>
      <c r="D59" s="21" t="n">
        <v>1</v>
      </c>
      <c r="E59" s="23" t="inlineStr">
        <is>
          <t>1480×6×6000</t>
        </is>
      </c>
      <c r="F59" s="21" t="n">
        <v>418</v>
      </c>
      <c r="G59" s="21" t="n">
        <v>418</v>
      </c>
      <c r="H59" s="19" t="inlineStr"/>
      <c r="I59" s="19" t="inlineStr"/>
      <c r="J59" s="21">
        <f>G59*H59</f>
        <v/>
      </c>
      <c r="K59" s="21">
        <f>G59*I59</f>
        <v/>
      </c>
      <c r="L59" s="20">
        <f>J59+K59</f>
        <v/>
      </c>
    </row>
    <row r="60" ht="16" customHeight="1">
      <c r="B60" s="16" t="n">
        <v>49</v>
      </c>
      <c r="C60" s="17" t="inlineStr">
        <is>
          <t>[T-202]  GÖVDE 6mm — 2–6. Kurs Kapama (POZ 3B) — Kesim + Silindirik Bükme R=6365mm</t>
        </is>
      </c>
      <c r="D60" s="16" t="n">
        <v>1</v>
      </c>
      <c r="E60" s="18" t="inlineStr">
        <is>
          <t>1480×6×6000</t>
        </is>
      </c>
      <c r="F60" s="16" t="n">
        <v>418</v>
      </c>
      <c r="G60" s="16" t="n">
        <v>418</v>
      </c>
      <c r="H60" s="19" t="inlineStr"/>
      <c r="I60" s="19" t="inlineStr"/>
      <c r="J60" s="16">
        <f>G60*H60</f>
        <v/>
      </c>
      <c r="K60" s="16">
        <f>G60*I60</f>
        <v/>
      </c>
      <c r="L60" s="20">
        <f>J60+K60</f>
        <v/>
      </c>
    </row>
    <row r="61">
      <c r="B61" s="24" t="inlineStr">
        <is>
          <t>T-202 GÖVDE TOPLAM AĞIRLIK:</t>
        </is>
      </c>
      <c r="G61" s="25" t="n">
        <v>16513</v>
      </c>
    </row>
    <row r="62" ht="20" customHeight="1">
      <c r="B62" s="26" t="inlineStr">
        <is>
          <t>T-202  ÜRETİM TANKI  —  TABAN SAC  |  S275J2  (Çizim: KEY199MECEQP2003)  |  TOPLAM TABAN: 11,252.8 kg</t>
        </is>
      </c>
    </row>
    <row r="63" ht="16" customHeight="1">
      <c r="B63" s="16" t="n">
        <v>50</v>
      </c>
      <c r="C63" s="17" t="inlineStr">
        <is>
          <t>[T-202]  TABAN 10mm Orta — POZ 1 ×7 — Kesim</t>
        </is>
      </c>
      <c r="D63" s="16" t="n">
        <v>7</v>
      </c>
      <c r="E63" s="18" t="inlineStr">
        <is>
          <t>1500×10×5990</t>
        </is>
      </c>
      <c r="F63" s="16" t="n">
        <v>705.3</v>
      </c>
      <c r="G63" s="16" t="n">
        <v>4937.1</v>
      </c>
      <c r="H63" s="19" t="inlineStr"/>
      <c r="I63" s="19" t="inlineStr"/>
      <c r="J63" s="16">
        <f>G63*H63</f>
        <v/>
      </c>
      <c r="K63" s="16">
        <f>G63*I63</f>
        <v/>
      </c>
      <c r="L63" s="20">
        <f>J63+K63</f>
        <v/>
      </c>
    </row>
    <row r="64" ht="16" customHeight="1">
      <c r="B64" s="21" t="n">
        <v>51</v>
      </c>
      <c r="C64" s="22" t="inlineStr">
        <is>
          <t>[T-202]  TABAN 10mm Orta — POZ 2 ×2 — Kesim</t>
        </is>
      </c>
      <c r="D64" s="21" t="n">
        <v>2</v>
      </c>
      <c r="E64" s="23" t="inlineStr">
        <is>
          <t>1500×10×2684</t>
        </is>
      </c>
      <c r="F64" s="21" t="n">
        <v>314</v>
      </c>
      <c r="G64" s="21" t="n">
        <v>628</v>
      </c>
      <c r="H64" s="19" t="inlineStr"/>
      <c r="I64" s="19" t="inlineStr"/>
      <c r="J64" s="21">
        <f>G64*H64</f>
        <v/>
      </c>
      <c r="K64" s="21">
        <f>G64*I64</f>
        <v/>
      </c>
      <c r="L64" s="20">
        <f>J64+K64</f>
        <v/>
      </c>
    </row>
    <row r="65" ht="16" customHeight="1">
      <c r="B65" s="16" t="n">
        <v>52</v>
      </c>
      <c r="C65" s="17" t="inlineStr">
        <is>
          <t>[T-202]  TABAN 10mm Orta — POZ 3 ×4 — Kesim (kısa strip)</t>
        </is>
      </c>
      <c r="D65" s="16" t="n">
        <v>4</v>
      </c>
      <c r="E65" s="18" t="inlineStr">
        <is>
          <t>1500×10×635</t>
        </is>
      </c>
      <c r="F65" s="16" t="n">
        <v>55.5</v>
      </c>
      <c r="G65" s="16" t="n">
        <v>222</v>
      </c>
      <c r="H65" s="19" t="inlineStr"/>
      <c r="I65" s="19" t="inlineStr"/>
      <c r="J65" s="16">
        <f>G65*H65</f>
        <v/>
      </c>
      <c r="K65" s="16">
        <f>G65*I65</f>
        <v/>
      </c>
      <c r="L65" s="20">
        <f>J65+K65</f>
        <v/>
      </c>
    </row>
    <row r="66" ht="16" customHeight="1">
      <c r="B66" s="21" t="n">
        <v>53</v>
      </c>
      <c r="C66" s="22" t="inlineStr">
        <is>
          <t>[T-202]  TABAN 10mm Orta — POZ 4 ×3 — Kesim</t>
        </is>
      </c>
      <c r="D66" s="21" t="n">
        <v>3</v>
      </c>
      <c r="E66" s="23" t="inlineStr">
        <is>
          <t>1500×10×2262</t>
        </is>
      </c>
      <c r="F66" s="21" t="n">
        <v>219.2</v>
      </c>
      <c r="G66" s="21" t="n">
        <v>657.6</v>
      </c>
      <c r="H66" s="19" t="inlineStr"/>
      <c r="I66" s="19" t="inlineStr"/>
      <c r="J66" s="21">
        <f>G66*H66</f>
        <v/>
      </c>
      <c r="K66" s="21">
        <f>G66*I66</f>
        <v/>
      </c>
      <c r="L66" s="20">
        <f>J66+K66</f>
        <v/>
      </c>
    </row>
    <row r="67" ht="16" customHeight="1">
      <c r="B67" s="16" t="n">
        <v>54</v>
      </c>
      <c r="C67" s="17" t="inlineStr">
        <is>
          <t>[T-202]  TABAN 10mm Orta — POZ 5 — Kesim</t>
        </is>
      </c>
      <c r="D67" s="16" t="n">
        <v>1</v>
      </c>
      <c r="E67" s="18" t="inlineStr">
        <is>
          <t>1500×10×2676</t>
        </is>
      </c>
      <c r="F67" s="16" t="n">
        <v>222</v>
      </c>
      <c r="G67" s="16" t="n">
        <v>222</v>
      </c>
      <c r="H67" s="19" t="inlineStr"/>
      <c r="I67" s="19" t="inlineStr"/>
      <c r="J67" s="16">
        <f>G67*H67</f>
        <v/>
      </c>
      <c r="K67" s="16">
        <f>G67*I67</f>
        <v/>
      </c>
      <c r="L67" s="20">
        <f>J67+K67</f>
        <v/>
      </c>
    </row>
    <row r="68" ht="16" customHeight="1">
      <c r="B68" s="21" t="n">
        <v>55</v>
      </c>
      <c r="C68" s="22" t="inlineStr">
        <is>
          <t>[T-202]  TABAN 10mm Orta — POZ 6 — Kesim</t>
        </is>
      </c>
      <c r="D68" s="21" t="n">
        <v>1</v>
      </c>
      <c r="E68" s="23" t="inlineStr">
        <is>
          <t>1500×10×4395</t>
        </is>
      </c>
      <c r="F68" s="21" t="n">
        <v>557</v>
      </c>
      <c r="G68" s="21" t="n">
        <v>557</v>
      </c>
      <c r="H68" s="19" t="inlineStr"/>
      <c r="I68" s="19" t="inlineStr"/>
      <c r="J68" s="21">
        <f>G68*H68</f>
        <v/>
      </c>
      <c r="K68" s="21">
        <f>G68*I68</f>
        <v/>
      </c>
      <c r="L68" s="20">
        <f>J68+K68</f>
        <v/>
      </c>
    </row>
    <row r="69" ht="16" customHeight="1">
      <c r="B69" s="16" t="n">
        <v>56</v>
      </c>
      <c r="C69" s="17" t="inlineStr">
        <is>
          <t>[T-202]  TABAN 10mm Orta — POZ 7 ×2 — Kesim</t>
        </is>
      </c>
      <c r="D69" s="16" t="n">
        <v>2</v>
      </c>
      <c r="E69" s="18" t="inlineStr">
        <is>
          <t>1500×10×2994</t>
        </is>
      </c>
      <c r="F69" s="16" t="n">
        <v>347.4</v>
      </c>
      <c r="G69" s="16" t="n">
        <v>694.8</v>
      </c>
      <c r="H69" s="19" t="inlineStr"/>
      <c r="I69" s="19" t="inlineStr"/>
      <c r="J69" s="16">
        <f>G69*H69</f>
        <v/>
      </c>
      <c r="K69" s="16">
        <f>G69*I69</f>
        <v/>
      </c>
      <c r="L69" s="20">
        <f>J69+K69</f>
        <v/>
      </c>
    </row>
    <row r="70" ht="16" customHeight="1">
      <c r="B70" s="21" t="n">
        <v>57</v>
      </c>
      <c r="C70" s="22" t="inlineStr">
        <is>
          <t>[T-202]  TABAN 10mm Orta — POZ 8 ×2 — Kesim (dar plaka)</t>
        </is>
      </c>
      <c r="D70" s="21" t="n">
        <v>2</v>
      </c>
      <c r="E70" s="23" t="inlineStr">
        <is>
          <t>632×10×5208</t>
        </is>
      </c>
      <c r="F70" s="21" t="n">
        <v>174.1</v>
      </c>
      <c r="G70" s="21" t="n">
        <v>348.2</v>
      </c>
      <c r="H70" s="19" t="inlineStr"/>
      <c r="I70" s="19" t="inlineStr"/>
      <c r="J70" s="21">
        <f>G70*H70</f>
        <v/>
      </c>
      <c r="K70" s="21">
        <f>G70*I70</f>
        <v/>
      </c>
      <c r="L70" s="20">
        <f>J70+K70</f>
        <v/>
      </c>
    </row>
    <row r="71" ht="16" customHeight="1">
      <c r="B71" s="16" t="n">
        <v>58</v>
      </c>
      <c r="C71" s="17" t="inlineStr">
        <is>
          <t>[T-202]  TABAN 12mm Annüler/Çevre — POZ 9 ×6 — Kesim</t>
        </is>
      </c>
      <c r="D71" s="16" t="n">
        <v>6</v>
      </c>
      <c r="E71" s="18" t="inlineStr">
        <is>
          <t>800×12×5937</t>
        </is>
      </c>
      <c r="F71" s="16" t="n">
        <v>436.1</v>
      </c>
      <c r="G71" s="16" t="n">
        <v>2616.6</v>
      </c>
      <c r="H71" s="19" t="inlineStr"/>
      <c r="I71" s="19" t="inlineStr"/>
      <c r="J71" s="16">
        <f>G71*H71</f>
        <v/>
      </c>
      <c r="K71" s="16">
        <f>G71*I71</f>
        <v/>
      </c>
      <c r="L71" s="20">
        <f>J71+K71</f>
        <v/>
      </c>
    </row>
    <row r="72" ht="16" customHeight="1">
      <c r="B72" s="21" t="n">
        <v>59</v>
      </c>
      <c r="C72" s="22" t="inlineStr">
        <is>
          <t>[T-202]  TABAN 12mm Annüler/Çevre — POZ 9A — Kesim (kapama)</t>
        </is>
      </c>
      <c r="D72" s="21" t="n">
        <v>1</v>
      </c>
      <c r="E72" s="23" t="inlineStr">
        <is>
          <t>800×12×3327</t>
        </is>
      </c>
      <c r="F72" s="21" t="n">
        <v>237.8</v>
      </c>
      <c r="G72" s="21" t="n">
        <v>237.8</v>
      </c>
      <c r="H72" s="19" t="inlineStr"/>
      <c r="I72" s="19" t="inlineStr"/>
      <c r="J72" s="21">
        <f>G72*H72</f>
        <v/>
      </c>
      <c r="K72" s="21">
        <f>G72*I72</f>
        <v/>
      </c>
      <c r="L72" s="20">
        <f>J72+K72</f>
        <v/>
      </c>
    </row>
    <row r="73" ht="16" customHeight="1">
      <c r="B73" s="16" t="n">
        <v>60</v>
      </c>
      <c r="C73" s="17" t="inlineStr">
        <is>
          <t>[T-202]  TABAN 5mm Drenaj Strip — POZ 10 ×8 — Kesim</t>
        </is>
      </c>
      <c r="D73" s="16" t="n">
        <v>8</v>
      </c>
      <c r="E73" s="18" t="inlineStr">
        <is>
          <t>50×5×720</t>
        </is>
      </c>
      <c r="F73" s="16" t="n">
        <v>1.42</v>
      </c>
      <c r="G73" s="16" t="n">
        <v>11.4</v>
      </c>
      <c r="H73" s="19" t="inlineStr"/>
      <c r="I73" s="19" t="inlineStr"/>
      <c r="J73" s="16">
        <f>G73*H73</f>
        <v/>
      </c>
      <c r="K73" s="16">
        <f>G73*I73</f>
        <v/>
      </c>
      <c r="L73" s="20">
        <f>J73+K73</f>
        <v/>
      </c>
    </row>
    <row r="74" ht="16" customHeight="1">
      <c r="B74" s="21" t="n">
        <v>61</v>
      </c>
      <c r="C74" s="22" t="inlineStr">
        <is>
          <t>[T-202]  TABAN 5mm Drenaj Strip — POZ 11 — Kesim</t>
        </is>
      </c>
      <c r="D74" s="21" t="n">
        <v>1</v>
      </c>
      <c r="E74" s="23" t="inlineStr">
        <is>
          <t>50×5×1301.5</t>
        </is>
      </c>
      <c r="F74" s="21" t="n">
        <v>2.55</v>
      </c>
      <c r="G74" s="21" t="n">
        <v>2.5</v>
      </c>
      <c r="H74" s="19" t="inlineStr"/>
      <c r="I74" s="19" t="inlineStr"/>
      <c r="J74" s="21">
        <f>G74*H74</f>
        <v/>
      </c>
      <c r="K74" s="21">
        <f>G74*I74</f>
        <v/>
      </c>
      <c r="L74" s="20">
        <f>J74+K74</f>
        <v/>
      </c>
    </row>
    <row r="75" ht="16" customHeight="1">
      <c r="B75" s="16" t="n">
        <v>62</v>
      </c>
      <c r="C75" s="17" t="inlineStr">
        <is>
          <t>[T-202]  TABAN 5mm Drenaj Strip — POZ 12 ×13 — Kesim</t>
        </is>
      </c>
      <c r="D75" s="16" t="n">
        <v>13</v>
      </c>
      <c r="E75" s="18" t="inlineStr">
        <is>
          <t>50×5×1400</t>
        </is>
      </c>
      <c r="F75" s="16" t="n">
        <v>2.8</v>
      </c>
      <c r="G75" s="16" t="n">
        <v>36.4</v>
      </c>
      <c r="H75" s="19" t="inlineStr"/>
      <c r="I75" s="19" t="inlineStr"/>
      <c r="J75" s="16">
        <f>G75*H75</f>
        <v/>
      </c>
      <c r="K75" s="16">
        <f>G75*I75</f>
        <v/>
      </c>
      <c r="L75" s="20">
        <f>J75+K75</f>
        <v/>
      </c>
    </row>
    <row r="76" ht="16" customHeight="1">
      <c r="B76" s="21" t="n">
        <v>63</v>
      </c>
      <c r="C76" s="22" t="inlineStr">
        <is>
          <t>[T-202]  TABAN 5mm Drenaj Strip — POZ 13 — Kesim</t>
        </is>
      </c>
      <c r="D76" s="21" t="n">
        <v>1</v>
      </c>
      <c r="E76" s="23" t="inlineStr">
        <is>
          <t>50×5×2641.5</t>
        </is>
      </c>
      <c r="F76" s="21" t="n">
        <v>5.18</v>
      </c>
      <c r="G76" s="21" t="n">
        <v>5.2</v>
      </c>
      <c r="H76" s="19" t="inlineStr"/>
      <c r="I76" s="19" t="inlineStr"/>
      <c r="J76" s="21">
        <f>G76*H76</f>
        <v/>
      </c>
      <c r="K76" s="21">
        <f>G76*I76</f>
        <v/>
      </c>
      <c r="L76" s="20">
        <f>J76+K76</f>
        <v/>
      </c>
    </row>
    <row r="77" ht="16" customHeight="1">
      <c r="B77" s="16" t="n">
        <v>64</v>
      </c>
      <c r="C77" s="17" t="inlineStr">
        <is>
          <t>[T-202]  TABAN Sump Drenaj Çukuru — Ayrı İmalat Kalemi (çeşitli parçalar)</t>
        </is>
      </c>
      <c r="D77" s="16" t="n">
        <v>1</v>
      </c>
      <c r="E77" s="18" t="inlineStr">
        <is>
          <t>Sump Çukuru</t>
        </is>
      </c>
      <c r="F77" s="16" t="n">
        <v>76.09999999999999</v>
      </c>
      <c r="G77" s="16" t="n">
        <v>76.09999999999999</v>
      </c>
      <c r="H77" s="19" t="inlineStr"/>
      <c r="I77" s="19" t="inlineStr"/>
      <c r="J77" s="16">
        <f>G77*H77</f>
        <v/>
      </c>
      <c r="K77" s="16">
        <f>G77*I77</f>
        <v/>
      </c>
      <c r="L77" s="20">
        <f>J77+K77</f>
        <v/>
      </c>
    </row>
    <row r="78">
      <c r="B78" s="24" t="inlineStr">
        <is>
          <t>T-202 TABAN TOPLAM AĞIRLIK:</t>
        </is>
      </c>
      <c r="G78" s="25" t="n">
        <v>11252.8</v>
      </c>
    </row>
    <row r="79" ht="20" customHeight="1">
      <c r="B79" s="26" t="inlineStr">
        <is>
          <t>T-202  ÜRETİM TANKI  —  TAVAN SAC (Konik)  |  S275J2  (Çizim: KEY199MECEQP2002)  |  TOPLAM TAVAN: 8,147 kg</t>
        </is>
      </c>
    </row>
    <row r="80" ht="16" customHeight="1">
      <c r="B80" s="16" t="n">
        <v>65</v>
      </c>
      <c r="C80" s="17" t="inlineStr">
        <is>
          <t>[T-202]  TAVAN 8mm Konik Sektör — POZ 1 ×4 — Kesim + Konik Bükme</t>
        </is>
      </c>
      <c r="D80" s="16" t="n">
        <v>4</v>
      </c>
      <c r="E80" s="18" t="inlineStr">
        <is>
          <t>1500×8×6000</t>
        </is>
      </c>
      <c r="F80" s="16" t="n">
        <v>565.2</v>
      </c>
      <c r="G80" s="16" t="n">
        <v>2260.8</v>
      </c>
      <c r="H80" s="19" t="inlineStr"/>
      <c r="I80" s="19" t="inlineStr"/>
      <c r="J80" s="16">
        <f>G80*H80</f>
        <v/>
      </c>
      <c r="K80" s="16">
        <f>G80*I80</f>
        <v/>
      </c>
      <c r="L80" s="20">
        <f>J80+K80</f>
        <v/>
      </c>
    </row>
    <row r="81" ht="16" customHeight="1">
      <c r="B81" s="21" t="n">
        <v>66</v>
      </c>
      <c r="C81" s="22" t="inlineStr">
        <is>
          <t>[T-202]  TAVAN 8mm Konik Sektör — POZ 1A — Kesim + Konik Bükme</t>
        </is>
      </c>
      <c r="D81" s="21" t="n">
        <v>1</v>
      </c>
      <c r="E81" s="23" t="inlineStr">
        <is>
          <t>1500×8×6000</t>
        </is>
      </c>
      <c r="F81" s="21" t="n">
        <v>560</v>
      </c>
      <c r="G81" s="21" t="n">
        <v>560</v>
      </c>
      <c r="H81" s="19" t="inlineStr"/>
      <c r="I81" s="19" t="inlineStr"/>
      <c r="J81" s="21">
        <f>G81*H81</f>
        <v/>
      </c>
      <c r="K81" s="21">
        <f>G81*I81</f>
        <v/>
      </c>
      <c r="L81" s="20">
        <f>J81+K81</f>
        <v/>
      </c>
    </row>
    <row r="82" ht="16" customHeight="1">
      <c r="B82" s="16" t="n">
        <v>67</v>
      </c>
      <c r="C82" s="17" t="inlineStr">
        <is>
          <t>[T-202]  TAVAN 8mm Konik Sektör — POZ 1B — Kesim + Konik Bükme</t>
        </is>
      </c>
      <c r="D82" s="16" t="n">
        <v>1</v>
      </c>
      <c r="E82" s="18" t="inlineStr">
        <is>
          <t>1500×8×6000</t>
        </is>
      </c>
      <c r="F82" s="16" t="n">
        <v>560</v>
      </c>
      <c r="G82" s="16" t="n">
        <v>560</v>
      </c>
      <c r="H82" s="19" t="inlineStr"/>
      <c r="I82" s="19" t="inlineStr"/>
      <c r="J82" s="16">
        <f>G82*H82</f>
        <v/>
      </c>
      <c r="K82" s="16">
        <f>G82*I82</f>
        <v/>
      </c>
      <c r="L82" s="20">
        <f>J82+K82</f>
        <v/>
      </c>
    </row>
    <row r="83" ht="16" customHeight="1">
      <c r="B83" s="21" t="n">
        <v>68</v>
      </c>
      <c r="C83" s="22" t="inlineStr">
        <is>
          <t>[T-202]  TAVAN 8mm Konik Sektör — POZ 1C — Kesim + Konik Bükme</t>
        </is>
      </c>
      <c r="D83" s="21" t="n">
        <v>1</v>
      </c>
      <c r="E83" s="23" t="inlineStr">
        <is>
          <t>1500×8×6000</t>
        </is>
      </c>
      <c r="F83" s="21" t="n">
        <v>560</v>
      </c>
      <c r="G83" s="21" t="n">
        <v>560</v>
      </c>
      <c r="H83" s="19" t="inlineStr"/>
      <c r="I83" s="19" t="inlineStr"/>
      <c r="J83" s="21">
        <f>G83*H83</f>
        <v/>
      </c>
      <c r="K83" s="21">
        <f>G83*I83</f>
        <v/>
      </c>
      <c r="L83" s="20">
        <f>J83+K83</f>
        <v/>
      </c>
    </row>
    <row r="84" ht="16" customHeight="1">
      <c r="B84" s="16" t="n">
        <v>69</v>
      </c>
      <c r="C84" s="17" t="inlineStr">
        <is>
          <t>[T-202]  TAVAN 8mm Konik Sektör — POZ 2 ×2 — Kesim + Konik Bükme</t>
        </is>
      </c>
      <c r="D84" s="16" t="n">
        <v>2</v>
      </c>
      <c r="E84" s="18" t="inlineStr">
        <is>
          <t>1500×8×3561</t>
        </is>
      </c>
      <c r="F84" s="16" t="n">
        <v>334</v>
      </c>
      <c r="G84" s="16" t="n">
        <v>668</v>
      </c>
      <c r="H84" s="19" t="inlineStr"/>
      <c r="I84" s="19" t="inlineStr"/>
      <c r="J84" s="16">
        <f>G84*H84</f>
        <v/>
      </c>
      <c r="K84" s="16">
        <f>G84*I84</f>
        <v/>
      </c>
      <c r="L84" s="20">
        <f>J84+K84</f>
        <v/>
      </c>
    </row>
    <row r="85" ht="16" customHeight="1">
      <c r="B85" s="21" t="n">
        <v>70</v>
      </c>
      <c r="C85" s="22" t="inlineStr">
        <is>
          <t>[T-202]  TAVAN 8mm Konik Sektör — POZ 3 ×4 — Kesim + Konik Bükme (küçük)</t>
        </is>
      </c>
      <c r="D85" s="21" t="n">
        <v>4</v>
      </c>
      <c r="E85" s="23" t="inlineStr">
        <is>
          <t>1500×8×548</t>
        </is>
      </c>
      <c r="F85" s="21" t="n">
        <v>38.3</v>
      </c>
      <c r="G85" s="21" t="n">
        <v>153.2</v>
      </c>
      <c r="H85" s="19" t="inlineStr"/>
      <c r="I85" s="19" t="inlineStr"/>
      <c r="J85" s="21">
        <f>G85*H85</f>
        <v/>
      </c>
      <c r="K85" s="21">
        <f>G85*I85</f>
        <v/>
      </c>
      <c r="L85" s="20">
        <f>J85+K85</f>
        <v/>
      </c>
    </row>
    <row r="86" ht="16" customHeight="1">
      <c r="B86" s="16" t="n">
        <v>71</v>
      </c>
      <c r="C86" s="17" t="inlineStr">
        <is>
          <t>[T-202]  TAVAN 8mm Konik Sektör — POZ 4 ×4 — Kesim + Konik Bükme</t>
        </is>
      </c>
      <c r="D86" s="16" t="n">
        <v>4</v>
      </c>
      <c r="E86" s="18" t="inlineStr">
        <is>
          <t>1500×8×3196</t>
        </is>
      </c>
      <c r="F86" s="16" t="n">
        <v>269.3</v>
      </c>
      <c r="G86" s="16" t="n">
        <v>1077.2</v>
      </c>
      <c r="H86" s="19" t="inlineStr"/>
      <c r="I86" s="19" t="inlineStr"/>
      <c r="J86" s="16">
        <f>G86*H86</f>
        <v/>
      </c>
      <c r="K86" s="16">
        <f>G86*I86</f>
        <v/>
      </c>
      <c r="L86" s="20">
        <f>J86+K86</f>
        <v/>
      </c>
    </row>
    <row r="87" ht="16" customHeight="1">
      <c r="B87" s="21" t="n">
        <v>72</v>
      </c>
      <c r="C87" s="22" t="inlineStr">
        <is>
          <t>[T-202]  TAVAN 8mm Konik Sektör — POZ 5 ×2 — Kesim + Konik Bükme</t>
        </is>
      </c>
      <c r="D87" s="21" t="n">
        <v>2</v>
      </c>
      <c r="E87" s="23" t="inlineStr">
        <is>
          <t>1500×8×2873</t>
        </is>
      </c>
      <c r="F87" s="21" t="n">
        <v>257.3</v>
      </c>
      <c r="G87" s="21" t="n">
        <v>514.6</v>
      </c>
      <c r="H87" s="19" t="inlineStr"/>
      <c r="I87" s="19" t="inlineStr"/>
      <c r="J87" s="21">
        <f>G87*H87</f>
        <v/>
      </c>
      <c r="K87" s="21">
        <f>G87*I87</f>
        <v/>
      </c>
      <c r="L87" s="20">
        <f>J87+K87</f>
        <v/>
      </c>
    </row>
    <row r="88" ht="16" customHeight="1">
      <c r="B88" s="16" t="n">
        <v>73</v>
      </c>
      <c r="C88" s="17" t="inlineStr">
        <is>
          <t>[T-202]  TAVAN 8mm Konik Sektör — POZ 5A — Kesim + Konik Bükme</t>
        </is>
      </c>
      <c r="D88" s="16" t="n">
        <v>1</v>
      </c>
      <c r="E88" s="18" t="inlineStr">
        <is>
          <t>1500×8×2873</t>
        </is>
      </c>
      <c r="F88" s="16" t="n">
        <v>254.5</v>
      </c>
      <c r="G88" s="16" t="n">
        <v>254.5</v>
      </c>
      <c r="H88" s="19" t="inlineStr"/>
      <c r="I88" s="19" t="inlineStr"/>
      <c r="J88" s="16">
        <f>G88*H88</f>
        <v/>
      </c>
      <c r="K88" s="16">
        <f>G88*I88</f>
        <v/>
      </c>
      <c r="L88" s="20">
        <f>J88+K88</f>
        <v/>
      </c>
    </row>
    <row r="89" ht="16" customHeight="1">
      <c r="B89" s="21" t="n">
        <v>74</v>
      </c>
      <c r="C89" s="22" t="inlineStr">
        <is>
          <t>[T-202]  TAVAN 8mm Konik Sektör — POZ 5B — Kesim + Konik Bükme</t>
        </is>
      </c>
      <c r="D89" s="21" t="n">
        <v>1</v>
      </c>
      <c r="E89" s="23" t="inlineStr">
        <is>
          <t>1500×8×2873</t>
        </is>
      </c>
      <c r="F89" s="21" t="n">
        <v>254.5</v>
      </c>
      <c r="G89" s="21" t="n">
        <v>254.5</v>
      </c>
      <c r="H89" s="19" t="inlineStr"/>
      <c r="I89" s="19" t="inlineStr"/>
      <c r="J89" s="21">
        <f>G89*H89</f>
        <v/>
      </c>
      <c r="K89" s="21">
        <f>G89*I89</f>
        <v/>
      </c>
      <c r="L89" s="20">
        <f>J89+K89</f>
        <v/>
      </c>
    </row>
    <row r="90" ht="16" customHeight="1">
      <c r="B90" s="16" t="n">
        <v>75</v>
      </c>
      <c r="C90" s="17" t="inlineStr">
        <is>
          <t>[T-202]  TAVAN 8mm Konik Sektör — POZ 6 ×3 — Kesim + Konik Bükme</t>
        </is>
      </c>
      <c r="D90" s="16" t="n">
        <v>3</v>
      </c>
      <c r="E90" s="18" t="inlineStr">
        <is>
          <t>1500×8×2546</t>
        </is>
      </c>
      <c r="F90" s="16" t="n">
        <v>208</v>
      </c>
      <c r="G90" s="16" t="n">
        <v>624</v>
      </c>
      <c r="H90" s="19" t="inlineStr"/>
      <c r="I90" s="19" t="inlineStr"/>
      <c r="J90" s="16">
        <f>G90*H90</f>
        <v/>
      </c>
      <c r="K90" s="16">
        <f>G90*I90</f>
        <v/>
      </c>
      <c r="L90" s="20">
        <f>J90+K90</f>
        <v/>
      </c>
    </row>
    <row r="91" ht="16" customHeight="1">
      <c r="B91" s="21" t="n">
        <v>76</v>
      </c>
      <c r="C91" s="22" t="inlineStr">
        <is>
          <t>[T-202]  TAVAN 8mm Konik Sektör — POZ 6A — Kesim + Konik Bükme</t>
        </is>
      </c>
      <c r="D91" s="21" t="n">
        <v>1</v>
      </c>
      <c r="E91" s="23" t="inlineStr">
        <is>
          <t>1500×8×2546</t>
        </is>
      </c>
      <c r="F91" s="21" t="n">
        <v>190</v>
      </c>
      <c r="G91" s="21" t="n">
        <v>190</v>
      </c>
      <c r="H91" s="19" t="inlineStr"/>
      <c r="I91" s="19" t="inlineStr"/>
      <c r="J91" s="21">
        <f>G91*H91</f>
        <v/>
      </c>
      <c r="K91" s="21">
        <f>G91*I91</f>
        <v/>
      </c>
      <c r="L91" s="20">
        <f>J91+K91</f>
        <v/>
      </c>
    </row>
    <row r="92" ht="16" customHeight="1">
      <c r="B92" s="16" t="n">
        <v>77</v>
      </c>
      <c r="C92" s="17" t="inlineStr">
        <is>
          <t>[T-202]  TAVAN 8mm Konik Sektör — POZ 7 ×4 — Kesim + Konik Bükme (dar)</t>
        </is>
      </c>
      <c r="D92" s="16" t="n">
        <v>4</v>
      </c>
      <c r="E92" s="18" t="inlineStr">
        <is>
          <t>1000×8×1825</t>
        </is>
      </c>
      <c r="F92" s="16" t="n">
        <v>90.7</v>
      </c>
      <c r="G92" s="16" t="n">
        <v>362.8</v>
      </c>
      <c r="H92" s="19" t="inlineStr"/>
      <c r="I92" s="19" t="inlineStr"/>
      <c r="J92" s="16">
        <f>G92*H92</f>
        <v/>
      </c>
      <c r="K92" s="16">
        <f>G92*I92</f>
        <v/>
      </c>
      <c r="L92" s="20">
        <f>J92+K92</f>
        <v/>
      </c>
    </row>
    <row r="93" ht="16" customHeight="1">
      <c r="B93" s="21" t="n">
        <v>78</v>
      </c>
      <c r="C93" s="22" t="inlineStr">
        <is>
          <t>[T-202]  TAVAN 8mm Konik Sektör — POZ 8 ×4 — Kesim + Konik Bükme (köşe)</t>
        </is>
      </c>
      <c r="D93" s="21" t="n">
        <v>4</v>
      </c>
      <c r="E93" s="23" t="inlineStr">
        <is>
          <t>1057×8×875</t>
        </is>
      </c>
      <c r="F93" s="21" t="n">
        <v>31</v>
      </c>
      <c r="G93" s="21" t="n">
        <v>124</v>
      </c>
      <c r="H93" s="19" t="inlineStr"/>
      <c r="I93" s="19" t="inlineStr"/>
      <c r="J93" s="21">
        <f>G93*H93</f>
        <v/>
      </c>
      <c r="K93" s="21">
        <f>G93*I93</f>
        <v/>
      </c>
      <c r="L93" s="20">
        <f>J93+K93</f>
        <v/>
      </c>
    </row>
    <row r="94" ht="16" customHeight="1">
      <c r="B94" s="16" t="n">
        <v>79</v>
      </c>
      <c r="C94" s="17" t="inlineStr">
        <is>
          <t>[T-202]  TAVAN 8mm Konik Sektör — POZ 9 ×2 — Kesim + Konik Bükme</t>
        </is>
      </c>
      <c r="D94" s="16" t="n">
        <v>2</v>
      </c>
      <c r="E94" s="18" t="inlineStr">
        <is>
          <t>1500×8×2911</t>
        </is>
      </c>
      <c r="F94" s="16" t="n">
        <v>272.8</v>
      </c>
      <c r="G94" s="16" t="n">
        <v>545.6</v>
      </c>
      <c r="H94" s="19" t="inlineStr"/>
      <c r="I94" s="19" t="inlineStr"/>
      <c r="J94" s="16">
        <f>G94*H94</f>
        <v/>
      </c>
      <c r="K94" s="16">
        <f>G94*I94</f>
        <v/>
      </c>
      <c r="L94" s="20">
        <f>J94+K94</f>
        <v/>
      </c>
    </row>
    <row r="95">
      <c r="B95" s="24" t="inlineStr">
        <is>
          <t>T-202 TAVAN TOPLAM AĞIRLIK:</t>
        </is>
      </c>
      <c r="G95" s="25" t="n">
        <v>8147</v>
      </c>
    </row>
    <row r="97" ht="20" customHeight="1">
      <c r="B97" s="27" t="inlineStr">
        <is>
          <t>T-301  ATIK SU TANKI (~2,000 BBL)  —  GÖVDE SAC  |  St52-2</t>
        </is>
      </c>
    </row>
    <row r="98" ht="16" customHeight="1">
      <c r="B98" s="16" t="n">
        <v>80</v>
      </c>
      <c r="C98" s="17" t="inlineStr">
        <is>
          <t>[T-301]  GÖVDE 10mm — Kesim + Silindirik Bükme</t>
        </is>
      </c>
      <c r="D98" s="16" t="n">
        <v>3</v>
      </c>
      <c r="E98" s="18" t="inlineStr">
        <is>
          <t>1500×10×6000</t>
        </is>
      </c>
      <c r="F98" s="16" t="n">
        <v>706.5</v>
      </c>
      <c r="G98" s="16" t="n">
        <v>2119.5</v>
      </c>
      <c r="H98" s="19" t="inlineStr"/>
      <c r="I98" s="19" t="inlineStr"/>
      <c r="J98" s="16">
        <f>G98*H98</f>
        <v/>
      </c>
      <c r="K98" s="16">
        <f>G98*I98</f>
        <v/>
      </c>
      <c r="L98" s="20">
        <f>J98+K98</f>
        <v/>
      </c>
    </row>
    <row r="99" ht="16" customHeight="1">
      <c r="B99" s="21" t="n">
        <v>81</v>
      </c>
      <c r="C99" s="22" t="inlineStr">
        <is>
          <t>[T-301]  GÖVDE 10mm — Kesim + Silindirik Bükme (kapama)</t>
        </is>
      </c>
      <c r="D99" s="21" t="n">
        <v>1</v>
      </c>
      <c r="E99" s="23" t="inlineStr">
        <is>
          <t>1500×10×4000</t>
        </is>
      </c>
      <c r="F99" s="21" t="n">
        <v>471</v>
      </c>
      <c r="G99" s="21" t="n">
        <v>471</v>
      </c>
      <c r="H99" s="19" t="inlineStr"/>
      <c r="I99" s="19" t="inlineStr"/>
      <c r="J99" s="21">
        <f>G99*H99</f>
        <v/>
      </c>
      <c r="K99" s="21">
        <f>G99*I99</f>
        <v/>
      </c>
      <c r="L99" s="20">
        <f>J99+K99</f>
        <v/>
      </c>
    </row>
    <row r="100" ht="16" customHeight="1">
      <c r="B100" s="16" t="n">
        <v>82</v>
      </c>
      <c r="C100" s="17" t="inlineStr">
        <is>
          <t>[T-301]  GÖVDE 8mm  — Kesim + Silindirik Bükme</t>
        </is>
      </c>
      <c r="D100" s="16" t="n">
        <v>3</v>
      </c>
      <c r="E100" s="18" t="inlineStr">
        <is>
          <t>1500×8×6000</t>
        </is>
      </c>
      <c r="F100" s="16" t="n">
        <v>565.2</v>
      </c>
      <c r="G100" s="16" t="n">
        <v>1695.6</v>
      </c>
      <c r="H100" s="19" t="inlineStr"/>
      <c r="I100" s="19" t="inlineStr"/>
      <c r="J100" s="16">
        <f>G100*H100</f>
        <v/>
      </c>
      <c r="K100" s="16">
        <f>G100*I100</f>
        <v/>
      </c>
      <c r="L100" s="20">
        <f>J100+K100</f>
        <v/>
      </c>
    </row>
    <row r="101" ht="16" customHeight="1">
      <c r="B101" s="21" t="n">
        <v>83</v>
      </c>
      <c r="C101" s="22" t="inlineStr">
        <is>
          <t>[T-301]  GÖVDE 8mm  — Kesim + Silindirik Bükme (kapama)</t>
        </is>
      </c>
      <c r="D101" s="21" t="n">
        <v>1</v>
      </c>
      <c r="E101" s="23" t="inlineStr">
        <is>
          <t>1500×8×4000</t>
        </is>
      </c>
      <c r="F101" s="21" t="n">
        <v>376.8</v>
      </c>
      <c r="G101" s="21" t="n">
        <v>376.8</v>
      </c>
      <c r="H101" s="19" t="inlineStr"/>
      <c r="I101" s="19" t="inlineStr"/>
      <c r="J101" s="21">
        <f>G101*H101</f>
        <v/>
      </c>
      <c r="K101" s="21">
        <f>G101*I101</f>
        <v/>
      </c>
      <c r="L101" s="20">
        <f>J101+K101</f>
        <v/>
      </c>
    </row>
    <row r="102" ht="16" customHeight="1">
      <c r="B102" s="16" t="n">
        <v>84</v>
      </c>
      <c r="C102" s="17" t="inlineStr">
        <is>
          <t>[T-301]  GÖVDE 6mm  — Kesim + Silindirik Bükme</t>
        </is>
      </c>
      <c r="D102" s="16" t="n">
        <v>12</v>
      </c>
      <c r="E102" s="18" t="inlineStr">
        <is>
          <t>1500×6×6000</t>
        </is>
      </c>
      <c r="F102" s="16" t="n">
        <v>423.9</v>
      </c>
      <c r="G102" s="16" t="n">
        <v>5086.8</v>
      </c>
      <c r="H102" s="19" t="inlineStr"/>
      <c r="I102" s="19" t="inlineStr"/>
      <c r="J102" s="16">
        <f>G102*H102</f>
        <v/>
      </c>
      <c r="K102" s="16">
        <f>G102*I102</f>
        <v/>
      </c>
      <c r="L102" s="20">
        <f>J102+K102</f>
        <v/>
      </c>
    </row>
    <row r="103" ht="16" customHeight="1">
      <c r="B103" s="21" t="n">
        <v>85</v>
      </c>
      <c r="C103" s="22" t="inlineStr">
        <is>
          <t>[T-301]  GÖVDE 6mm  — Kesim + Silindirik Bükme (kapama)</t>
        </is>
      </c>
      <c r="D103" s="21" t="n">
        <v>4</v>
      </c>
      <c r="E103" s="23" t="inlineStr">
        <is>
          <t>1500×6×4000</t>
        </is>
      </c>
      <c r="F103" s="21" t="n">
        <v>282.6</v>
      </c>
      <c r="G103" s="21" t="n">
        <v>1130.4</v>
      </c>
      <c r="H103" s="19" t="inlineStr"/>
      <c r="I103" s="19" t="inlineStr"/>
      <c r="J103" s="21">
        <f>G103*H103</f>
        <v/>
      </c>
      <c r="K103" s="21">
        <f>G103*I103</f>
        <v/>
      </c>
      <c r="L103" s="20">
        <f>J103+K103</f>
        <v/>
      </c>
    </row>
    <row r="104">
      <c r="B104" s="24" t="inlineStr">
        <is>
          <t>T-301 GÖVDE TOPLAM AĞIRLIK:</t>
        </is>
      </c>
      <c r="G104" s="25" t="n">
        <v>7453.2</v>
      </c>
    </row>
    <row r="105" ht="20" customHeight="1">
      <c r="B105" s="27" t="inlineStr">
        <is>
          <t>T-301  ATIK SU TANKI  —  TABAN SAC  |  St52-2</t>
        </is>
      </c>
    </row>
    <row r="106" ht="16" customHeight="1">
      <c r="B106" s="16" t="n">
        <v>86</v>
      </c>
      <c r="C106" s="17" t="inlineStr">
        <is>
          <t>[T-301]  TABAN 8mm Orta Plaka — POZ 1 — Kesim</t>
        </is>
      </c>
      <c r="D106" s="16" t="n">
        <v>1</v>
      </c>
      <c r="E106" s="18" t="inlineStr">
        <is>
          <t>⊏ 1500×8×6000</t>
        </is>
      </c>
      <c r="F106" s="16" t="n">
        <v>565.2</v>
      </c>
      <c r="G106" s="16" t="n">
        <v>565.2</v>
      </c>
      <c r="H106" s="19" t="inlineStr"/>
      <c r="I106" s="19" t="inlineStr"/>
      <c r="J106" s="16">
        <f>G106*H106</f>
        <v/>
      </c>
      <c r="K106" s="16">
        <f>G106*I106</f>
        <v/>
      </c>
      <c r="L106" s="20">
        <f>J106+K106</f>
        <v/>
      </c>
    </row>
    <row r="107" ht="16" customHeight="1">
      <c r="B107" s="21" t="n">
        <v>87</v>
      </c>
      <c r="C107" s="22" t="inlineStr">
        <is>
          <t>[T-301]  TABAN 8mm Orta Plaka — POZ 2 — Kesim</t>
        </is>
      </c>
      <c r="D107" s="21" t="n">
        <v>1</v>
      </c>
      <c r="E107" s="23" t="inlineStr">
        <is>
          <t>⊏ 1500×8×6000</t>
        </is>
      </c>
      <c r="F107" s="21" t="n">
        <v>565.2</v>
      </c>
      <c r="G107" s="21" t="n">
        <v>565.2</v>
      </c>
      <c r="H107" s="19" t="inlineStr"/>
      <c r="I107" s="19" t="inlineStr"/>
      <c r="J107" s="21">
        <f>G107*H107</f>
        <v/>
      </c>
      <c r="K107" s="21">
        <f>G107*I107</f>
        <v/>
      </c>
      <c r="L107" s="20">
        <f>J107+K107</f>
        <v/>
      </c>
    </row>
    <row r="108" ht="16" customHeight="1">
      <c r="B108" s="16" t="n">
        <v>88</v>
      </c>
      <c r="C108" s="17" t="inlineStr">
        <is>
          <t>[T-301]  TABAN 8mm Orta Plaka — POZ 3 — Kesim</t>
        </is>
      </c>
      <c r="D108" s="16" t="n">
        <v>1</v>
      </c>
      <c r="E108" s="18" t="inlineStr">
        <is>
          <t>⊏ 1500×8×6000</t>
        </is>
      </c>
      <c r="F108" s="16" t="n">
        <v>565.2</v>
      </c>
      <c r="G108" s="16" t="n">
        <v>565.2</v>
      </c>
      <c r="H108" s="19" t="inlineStr"/>
      <c r="I108" s="19" t="inlineStr"/>
      <c r="J108" s="16">
        <f>G108*H108</f>
        <v/>
      </c>
      <c r="K108" s="16">
        <f>G108*I108</f>
        <v/>
      </c>
      <c r="L108" s="20">
        <f>J108+K108</f>
        <v/>
      </c>
    </row>
    <row r="109" ht="16" customHeight="1">
      <c r="B109" s="21" t="n">
        <v>89</v>
      </c>
      <c r="C109" s="22" t="inlineStr">
        <is>
          <t>[T-301]  TABAN 8mm Orta Plaka — POZ 4 — Kesim</t>
        </is>
      </c>
      <c r="D109" s="21" t="n">
        <v>1</v>
      </c>
      <c r="E109" s="23" t="inlineStr">
        <is>
          <t>⊏ 1500×8×6000</t>
        </is>
      </c>
      <c r="F109" s="21" t="n">
        <v>565.2</v>
      </c>
      <c r="G109" s="21" t="n">
        <v>565.2</v>
      </c>
      <c r="H109" s="19" t="inlineStr"/>
      <c r="I109" s="19" t="inlineStr"/>
      <c r="J109" s="21">
        <f>G109*H109</f>
        <v/>
      </c>
      <c r="K109" s="21">
        <f>G109*I109</f>
        <v/>
      </c>
      <c r="L109" s="20">
        <f>J109+K109</f>
        <v/>
      </c>
    </row>
    <row r="110" ht="16" customHeight="1">
      <c r="B110" s="16" t="n">
        <v>90</v>
      </c>
      <c r="C110" s="17" t="inlineStr">
        <is>
          <t>[T-301]  TABAN 8mm Orta Plaka — POZ 5 (kapama) — Kesim</t>
        </is>
      </c>
      <c r="D110" s="16" t="n">
        <v>1</v>
      </c>
      <c r="E110" s="18" t="inlineStr">
        <is>
          <t>⊏ 1500×8×4550</t>
        </is>
      </c>
      <c r="F110" s="16" t="n">
        <v>430</v>
      </c>
      <c r="G110" s="16" t="n">
        <v>430</v>
      </c>
      <c r="H110" s="19" t="inlineStr"/>
      <c r="I110" s="19" t="inlineStr"/>
      <c r="J110" s="16">
        <f>G110*H110</f>
        <v/>
      </c>
      <c r="K110" s="16">
        <f>G110*I110</f>
        <v/>
      </c>
      <c r="L110" s="20">
        <f>J110+K110</f>
        <v/>
      </c>
    </row>
    <row r="111" ht="16" customHeight="1">
      <c r="B111" s="21" t="n">
        <v>91</v>
      </c>
      <c r="C111" s="22" t="inlineStr">
        <is>
          <t>[T-301]  TABAN 8mm Annüler/Çevre — POZ 6 ×4 — Kesim</t>
        </is>
      </c>
      <c r="D111" s="21" t="n">
        <v>4</v>
      </c>
      <c r="E111" s="23" t="inlineStr">
        <is>
          <t>⊏ 700×8×4470</t>
        </is>
      </c>
      <c r="F111" s="21" t="n">
        <v>158</v>
      </c>
      <c r="G111" s="21" t="n">
        <v>632</v>
      </c>
      <c r="H111" s="19" t="inlineStr"/>
      <c r="I111" s="19" t="inlineStr"/>
      <c r="J111" s="21">
        <f>G111*H111</f>
        <v/>
      </c>
      <c r="K111" s="21">
        <f>G111*I111</f>
        <v/>
      </c>
      <c r="L111" s="20">
        <f>J111+K111</f>
        <v/>
      </c>
    </row>
    <row r="112" ht="16" customHeight="1">
      <c r="B112" s="16" t="n">
        <v>92</v>
      </c>
      <c r="C112" s="17" t="inlineStr">
        <is>
          <t>[T-301]  TABAN 8mm Annüler/Çevre — POZ 7 (kapama) — Kesim</t>
        </is>
      </c>
      <c r="D112" s="16" t="n">
        <v>1</v>
      </c>
      <c r="E112" s="18" t="inlineStr">
        <is>
          <t>⊏ 700×8×1830</t>
        </is>
      </c>
      <c r="F112" s="16" t="n">
        <v>65</v>
      </c>
      <c r="G112" s="16" t="n">
        <v>65</v>
      </c>
      <c r="H112" s="19" t="inlineStr"/>
      <c r="I112" s="19" t="inlineStr"/>
      <c r="J112" s="16">
        <f>G112*H112</f>
        <v/>
      </c>
      <c r="K112" s="16">
        <f>G112*I112</f>
        <v/>
      </c>
      <c r="L112" s="20">
        <f>J112+K112</f>
        <v/>
      </c>
    </row>
    <row r="113">
      <c r="B113" s="24" t="inlineStr">
        <is>
          <t>T-301 TABAN TOPLAM AĞIRLIK:</t>
        </is>
      </c>
      <c r="G113" s="25" t="n">
        <v>2913.8</v>
      </c>
    </row>
    <row r="114" ht="20" customHeight="1">
      <c r="B114" s="27" t="inlineStr">
        <is>
          <t>T-301  ATIK SU TANKI  —  TAVAN SAC  |  St52-2</t>
        </is>
      </c>
    </row>
    <row r="115" ht="16" customHeight="1">
      <c r="B115" s="16" t="n">
        <v>93</v>
      </c>
      <c r="C115" s="17" t="inlineStr">
        <is>
          <t>[T-301]  TAVAN 6mm Sektör — POZ 1 — Kesim + Bükme</t>
        </is>
      </c>
      <c r="D115" s="16" t="n">
        <v>1</v>
      </c>
      <c r="E115" s="18" t="inlineStr">
        <is>
          <t>⊏ 1500×6×5700</t>
        </is>
      </c>
      <c r="F115" s="16" t="n">
        <v>403.7</v>
      </c>
      <c r="G115" s="16" t="n">
        <v>403.7</v>
      </c>
      <c r="H115" s="19" t="inlineStr"/>
      <c r="I115" s="19" t="inlineStr"/>
      <c r="J115" s="16">
        <f>G115*H115</f>
        <v/>
      </c>
      <c r="K115" s="16">
        <f>G115*I115</f>
        <v/>
      </c>
      <c r="L115" s="20">
        <f>J115+K115</f>
        <v/>
      </c>
    </row>
    <row r="116" ht="16" customHeight="1">
      <c r="B116" s="21" t="n">
        <v>94</v>
      </c>
      <c r="C116" s="22" t="inlineStr">
        <is>
          <t>[T-301]  TAVAN 6mm Sektör — POZ 2 — Kesim + Bükme</t>
        </is>
      </c>
      <c r="D116" s="21" t="n">
        <v>1</v>
      </c>
      <c r="E116" s="23" t="inlineStr">
        <is>
          <t>⊏ 1500×6×5700</t>
        </is>
      </c>
      <c r="F116" s="21" t="n">
        <v>403.7</v>
      </c>
      <c r="G116" s="21" t="n">
        <v>403.7</v>
      </c>
      <c r="H116" s="19" t="inlineStr"/>
      <c r="I116" s="19" t="inlineStr"/>
      <c r="J116" s="21">
        <f>G116*H116</f>
        <v/>
      </c>
      <c r="K116" s="21">
        <f>G116*I116</f>
        <v/>
      </c>
      <c r="L116" s="20">
        <f>J116+K116</f>
        <v/>
      </c>
    </row>
    <row r="117" ht="16" customHeight="1">
      <c r="B117" s="16" t="n">
        <v>95</v>
      </c>
      <c r="C117" s="17" t="inlineStr">
        <is>
          <t>[T-301]  TAVAN 6mm Sektör — POZ 3 — Kesim + Bükme</t>
        </is>
      </c>
      <c r="D117" s="16" t="n">
        <v>1</v>
      </c>
      <c r="E117" s="18" t="inlineStr">
        <is>
          <t>⊏ 1500×6×5700</t>
        </is>
      </c>
      <c r="F117" s="16" t="n">
        <v>403.7</v>
      </c>
      <c r="G117" s="16" t="n">
        <v>403.7</v>
      </c>
      <c r="H117" s="19" t="inlineStr"/>
      <c r="I117" s="19" t="inlineStr"/>
      <c r="J117" s="16">
        <f>G117*H117</f>
        <v/>
      </c>
      <c r="K117" s="16">
        <f>G117*I117</f>
        <v/>
      </c>
      <c r="L117" s="20">
        <f>J117+K117</f>
        <v/>
      </c>
    </row>
    <row r="118" ht="16" customHeight="1">
      <c r="B118" s="21" t="n">
        <v>96</v>
      </c>
      <c r="C118" s="22" t="inlineStr">
        <is>
          <t>[T-301]  TAVAN 6mm Sektör — POZ 4 — Kesim + Bükme</t>
        </is>
      </c>
      <c r="D118" s="21" t="n">
        <v>1</v>
      </c>
      <c r="E118" s="23" t="inlineStr">
        <is>
          <t>⊏ 1500×6×5700</t>
        </is>
      </c>
      <c r="F118" s="21" t="n">
        <v>403.7</v>
      </c>
      <c r="G118" s="21" t="n">
        <v>403.7</v>
      </c>
      <c r="H118" s="19" t="inlineStr"/>
      <c r="I118" s="19" t="inlineStr"/>
      <c r="J118" s="21">
        <f>G118*H118</f>
        <v/>
      </c>
      <c r="K118" s="21">
        <f>G118*I118</f>
        <v/>
      </c>
      <c r="L118" s="20">
        <f>J118+K118</f>
        <v/>
      </c>
    </row>
    <row r="119">
      <c r="B119" s="24" t="inlineStr">
        <is>
          <t>T-301 TAVAN TOPLAM AĞIRLIK:</t>
        </is>
      </c>
      <c r="G119" s="25" t="n">
        <v>1614.8</v>
      </c>
    </row>
    <row r="121" ht="22" customHeight="1">
      <c r="B121" s="28" t="inlineStr">
        <is>
          <t>3 TANK  GENEL TOPLAM SAC AĞIRLIĞI  (T-201 + T-202 + T-301)</t>
        </is>
      </c>
      <c r="G121" s="29">
        <f>SUM(G4:G120)</f>
        <v/>
      </c>
      <c r="H121" s="29" t="inlineStr"/>
      <c r="I121" s="29" t="inlineStr"/>
      <c r="J121" s="29">
        <f>SUM(J4:J120)</f>
        <v/>
      </c>
      <c r="K121" s="29">
        <f>SUM(K4:K120)</f>
        <v/>
      </c>
      <c r="L121" s="29">
        <f>SUM(L4:L120)</f>
        <v/>
      </c>
    </row>
  </sheetData>
  <mergeCells count="21">
    <mergeCell ref="B53:F53"/>
    <mergeCell ref="B4:L4"/>
    <mergeCell ref="B113:F113"/>
    <mergeCell ref="B97:L97"/>
    <mergeCell ref="B62:L62"/>
    <mergeCell ref="B78:F78"/>
    <mergeCell ref="B114:L114"/>
    <mergeCell ref="B31:F31"/>
    <mergeCell ref="B121:F121"/>
    <mergeCell ref="B46:L46"/>
    <mergeCell ref="B105:L105"/>
    <mergeCell ref="B95:F95"/>
    <mergeCell ref="B55:L55"/>
    <mergeCell ref="B104:F104"/>
    <mergeCell ref="B2:L2"/>
    <mergeCell ref="B45:F45"/>
    <mergeCell ref="B61:F61"/>
    <mergeCell ref="B32:L32"/>
    <mergeCell ref="B119:F119"/>
    <mergeCell ref="B79:L79"/>
    <mergeCell ref="B1:L1"/>
  </mergeCells>
  <pageMargins left="0.75" right="0.75" top="1" bottom="1" header="0.5" footer="0.5"/>
  <pageSetup orientation="portrait" scale="5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55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6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T-201 TAŞIRMA TANKI (25,000 BBL)  —  GÖVDE + TABAN + TAVAN PLAKA DETAYI  (Kesim/Bükme Fabrikatörü)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  (En × Kalınlık × Boy)  mm</t>
        </is>
      </c>
      <c r="E2" s="14" t="inlineStr">
        <is>
          <t>MALZEME</t>
        </is>
      </c>
      <c r="F2" s="14" t="inlineStr">
        <is>
          <t>BİRİM Kg</t>
        </is>
      </c>
      <c r="G2" s="14" t="inlineStr">
        <is>
          <t>TOPLAM Kg</t>
        </is>
      </c>
      <c r="H2" s="14" t="inlineStr">
        <is>
          <t>KALINLIK (mm)</t>
        </is>
      </c>
      <c r="I2" s="14" t="inlineStr">
        <is>
          <t>İŞLEM TÜRÜ</t>
        </is>
      </c>
    </row>
    <row r="3" ht="18" customHeight="1">
      <c r="B3" s="15" t="inlineStr">
        <is>
          <t>— GÖVDE SAC —  TOPLAM: 63,030 kg</t>
        </is>
      </c>
    </row>
    <row r="4" ht="18" customHeight="1">
      <c r="B4" s="21" t="inlineStr">
        <is>
          <t>1</t>
        </is>
      </c>
      <c r="C4" s="21" t="n">
        <v>1</v>
      </c>
      <c r="D4" s="23" t="inlineStr">
        <is>
          <t>⊏ 1500×12 × 12000</t>
        </is>
      </c>
      <c r="E4" s="21" t="inlineStr">
        <is>
          <t>S275J2</t>
        </is>
      </c>
      <c r="F4" s="21" t="n">
        <v>1698</v>
      </c>
      <c r="G4" s="21" t="n">
        <v>1698</v>
      </c>
      <c r="H4" s="21" t="n">
        <v>12</v>
      </c>
      <c r="I4" s="21" t="inlineStr">
        <is>
          <t>Kesim + Silindirik Bükme</t>
        </is>
      </c>
    </row>
    <row r="5" ht="18" customHeight="1">
      <c r="B5" s="16" t="inlineStr">
        <is>
          <t>2</t>
        </is>
      </c>
      <c r="C5" s="16" t="n">
        <v>1</v>
      </c>
      <c r="D5" s="18" t="inlineStr">
        <is>
          <t>⊏ 1500×12 × 12000</t>
        </is>
      </c>
      <c r="E5" s="16" t="inlineStr">
        <is>
          <t>S275J2</t>
        </is>
      </c>
      <c r="F5" s="16" t="n">
        <v>1698</v>
      </c>
      <c r="G5" s="16" t="n">
        <v>1698</v>
      </c>
      <c r="H5" s="16" t="n">
        <v>12</v>
      </c>
      <c r="I5" s="16" t="inlineStr">
        <is>
          <t>Kesim + Silindirik Bükme</t>
        </is>
      </c>
    </row>
    <row r="6" ht="18" customHeight="1">
      <c r="B6" s="21" t="inlineStr">
        <is>
          <t>3</t>
        </is>
      </c>
      <c r="C6" s="21" t="n">
        <v>1</v>
      </c>
      <c r="D6" s="23" t="inlineStr">
        <is>
          <t>⊏ 1500×12 × 12000</t>
        </is>
      </c>
      <c r="E6" s="21" t="inlineStr">
        <is>
          <t>S275J2</t>
        </is>
      </c>
      <c r="F6" s="21" t="n">
        <v>1698</v>
      </c>
      <c r="G6" s="21" t="n">
        <v>1698</v>
      </c>
      <c r="H6" s="21" t="n">
        <v>12</v>
      </c>
      <c r="I6" s="21" t="inlineStr">
        <is>
          <t>Kesim + Silindirik Bükme</t>
        </is>
      </c>
    </row>
    <row r="7" ht="18" customHeight="1">
      <c r="B7" s="16" t="inlineStr">
        <is>
          <t>4</t>
        </is>
      </c>
      <c r="C7" s="16" t="n">
        <v>1</v>
      </c>
      <c r="D7" s="18" t="inlineStr">
        <is>
          <t>⊏ 1500×12 × 12000</t>
        </is>
      </c>
      <c r="E7" s="16" t="inlineStr">
        <is>
          <t>S275J2</t>
        </is>
      </c>
      <c r="F7" s="16" t="n">
        <v>1698</v>
      </c>
      <c r="G7" s="16" t="n">
        <v>1698</v>
      </c>
      <c r="H7" s="16" t="n">
        <v>12</v>
      </c>
      <c r="I7" s="16" t="inlineStr">
        <is>
          <t>Kesim + Silindirik Bükme</t>
        </is>
      </c>
    </row>
    <row r="8" ht="18" customHeight="1">
      <c r="B8" s="21" t="inlineStr">
        <is>
          <t>5</t>
        </is>
      </c>
      <c r="C8" s="21" t="n">
        <v>1</v>
      </c>
      <c r="D8" s="23" t="inlineStr">
        <is>
          <t>⊏ 1500×12 × 11678</t>
        </is>
      </c>
      <c r="E8" s="21" t="inlineStr">
        <is>
          <t>S275J2</t>
        </is>
      </c>
      <c r="F8" s="21" t="n">
        <v>1652</v>
      </c>
      <c r="G8" s="21" t="n">
        <v>1652</v>
      </c>
      <c r="H8" s="21" t="n">
        <v>12</v>
      </c>
      <c r="I8" s="21" t="inlineStr">
        <is>
          <t>Kesim + Silindirik Bükme (kapama)</t>
        </is>
      </c>
    </row>
    <row r="9" ht="18" customHeight="1">
      <c r="B9" s="16" t="inlineStr">
        <is>
          <t>6</t>
        </is>
      </c>
      <c r="C9" s="16" t="n">
        <v>3</v>
      </c>
      <c r="D9" s="18" t="inlineStr">
        <is>
          <t>⊏ 1500×12 × 12000</t>
        </is>
      </c>
      <c r="E9" s="16" t="inlineStr">
        <is>
          <t>S275J2</t>
        </is>
      </c>
      <c r="F9" s="16" t="n">
        <v>1698</v>
      </c>
      <c r="G9" s="16" t="n">
        <v>5094</v>
      </c>
      <c r="H9" s="16" t="n">
        <v>12</v>
      </c>
      <c r="I9" s="16" t="inlineStr">
        <is>
          <t>Kesim + Silindirik Bükme</t>
        </is>
      </c>
    </row>
    <row r="10" ht="18" customHeight="1">
      <c r="B10" s="21" t="inlineStr">
        <is>
          <t>7</t>
        </is>
      </c>
      <c r="C10" s="21" t="n">
        <v>1</v>
      </c>
      <c r="D10" s="23" t="inlineStr">
        <is>
          <t>⊏ 1500×12 × 12000</t>
        </is>
      </c>
      <c r="E10" s="21" t="inlineStr">
        <is>
          <t>S275J2</t>
        </is>
      </c>
      <c r="F10" s="21" t="n">
        <v>1698</v>
      </c>
      <c r="G10" s="21" t="n">
        <v>1698</v>
      </c>
      <c r="H10" s="21" t="n">
        <v>12</v>
      </c>
      <c r="I10" s="21" t="inlineStr">
        <is>
          <t>Kesim + Silindirik Bükme</t>
        </is>
      </c>
    </row>
    <row r="11" ht="18" customHeight="1">
      <c r="B11" s="16" t="inlineStr">
        <is>
          <t>8</t>
        </is>
      </c>
      <c r="C11" s="16" t="n">
        <v>1</v>
      </c>
      <c r="D11" s="18" t="inlineStr">
        <is>
          <t>⊏ 1500×12 × 11678</t>
        </is>
      </c>
      <c r="E11" s="16" t="inlineStr">
        <is>
          <t>S275J2</t>
        </is>
      </c>
      <c r="F11" s="16" t="n">
        <v>1652</v>
      </c>
      <c r="G11" s="16" t="n">
        <v>1652</v>
      </c>
      <c r="H11" s="16" t="n">
        <v>12</v>
      </c>
      <c r="I11" s="16" t="inlineStr">
        <is>
          <t>Kesim + Silindirik Bükme (kapama)</t>
        </is>
      </c>
    </row>
    <row r="12" ht="18" customHeight="1">
      <c r="B12" s="21" t="inlineStr">
        <is>
          <t>9</t>
        </is>
      </c>
      <c r="C12" s="21" t="n">
        <v>10</v>
      </c>
      <c r="D12" s="23" t="inlineStr">
        <is>
          <t>⊏ 1500×10 × 12000</t>
        </is>
      </c>
      <c r="E12" s="21" t="inlineStr">
        <is>
          <t>S275J2</t>
        </is>
      </c>
      <c r="F12" s="21" t="n">
        <v>1415</v>
      </c>
      <c r="G12" s="21" t="n">
        <v>14150</v>
      </c>
      <c r="H12" s="21" t="n">
        <v>10</v>
      </c>
      <c r="I12" s="21" t="inlineStr">
        <is>
          <t>Kesim + Silindirik Bükme</t>
        </is>
      </c>
    </row>
    <row r="13" ht="18" customHeight="1">
      <c r="B13" s="16" t="inlineStr">
        <is>
          <t>10</t>
        </is>
      </c>
      <c r="C13" s="16" t="n">
        <v>3</v>
      </c>
      <c r="D13" s="18" t="inlineStr">
        <is>
          <t>⊏ 1500×10 × 11678</t>
        </is>
      </c>
      <c r="E13" s="16" t="inlineStr">
        <is>
          <t>S275J2</t>
        </is>
      </c>
      <c r="F13" s="16" t="n">
        <v>1377</v>
      </c>
      <c r="G13" s="16" t="n">
        <v>4131</v>
      </c>
      <c r="H13" s="16" t="n">
        <v>10</v>
      </c>
      <c r="I13" s="16" t="inlineStr">
        <is>
          <t>Kesim + Silindirik Bükme (kapama)</t>
        </is>
      </c>
    </row>
    <row r="14" ht="18" customHeight="1">
      <c r="B14" s="21" t="inlineStr">
        <is>
          <t>11</t>
        </is>
      </c>
      <c r="C14" s="21" t="n">
        <v>1</v>
      </c>
      <c r="D14" s="23" t="inlineStr">
        <is>
          <t>⊏ 1500×10 × 12000</t>
        </is>
      </c>
      <c r="E14" s="21" t="inlineStr">
        <is>
          <t>S275J2</t>
        </is>
      </c>
      <c r="F14" s="21" t="n">
        <v>1415</v>
      </c>
      <c r="G14" s="21" t="n">
        <v>1415</v>
      </c>
      <c r="H14" s="21" t="n">
        <v>10</v>
      </c>
      <c r="I14" s="21" t="inlineStr">
        <is>
          <t>Kesim + Silindirik Bükme</t>
        </is>
      </c>
    </row>
    <row r="15" ht="18" customHeight="1">
      <c r="B15" s="16" t="inlineStr">
        <is>
          <t>12</t>
        </is>
      </c>
      <c r="C15" s="16" t="n">
        <v>1</v>
      </c>
      <c r="D15" s="18" t="inlineStr">
        <is>
          <t>⊏ 1500×10 × 12000</t>
        </is>
      </c>
      <c r="E15" s="16" t="inlineStr">
        <is>
          <t>S275J2</t>
        </is>
      </c>
      <c r="F15" s="16" t="n">
        <v>1415</v>
      </c>
      <c r="G15" s="16" t="n">
        <v>1415</v>
      </c>
      <c r="H15" s="16" t="n">
        <v>10</v>
      </c>
      <c r="I15" s="16" t="inlineStr">
        <is>
          <t>Kesim + Silindirik Bükme</t>
        </is>
      </c>
    </row>
    <row r="16" ht="18" customHeight="1">
      <c r="B16" s="21" t="inlineStr">
        <is>
          <t>13</t>
        </is>
      </c>
      <c r="C16" s="21" t="n">
        <v>9</v>
      </c>
      <c r="D16" s="23" t="inlineStr">
        <is>
          <t>⊏ 1500×8  × 12000</t>
        </is>
      </c>
      <c r="E16" s="21" t="inlineStr">
        <is>
          <t>S275J2</t>
        </is>
      </c>
      <c r="F16" s="21" t="n">
        <v>1132</v>
      </c>
      <c r="G16" s="21" t="n">
        <v>10188</v>
      </c>
      <c r="H16" s="21" t="n">
        <v>8</v>
      </c>
      <c r="I16" s="21" t="inlineStr">
        <is>
          <t>Kesim + Silindirik Bükme</t>
        </is>
      </c>
    </row>
    <row r="17" ht="18" customHeight="1">
      <c r="B17" s="16" t="inlineStr">
        <is>
          <t>14</t>
        </is>
      </c>
      <c r="C17" s="16" t="n">
        <v>1</v>
      </c>
      <c r="D17" s="18" t="inlineStr">
        <is>
          <t>⊏ 1500×8  × 12000</t>
        </is>
      </c>
      <c r="E17" s="16" t="inlineStr">
        <is>
          <t>S275J2</t>
        </is>
      </c>
      <c r="F17" s="16" t="n">
        <v>1132</v>
      </c>
      <c r="G17" s="16" t="n">
        <v>1132</v>
      </c>
      <c r="H17" s="16" t="n">
        <v>8</v>
      </c>
      <c r="I17" s="16" t="inlineStr">
        <is>
          <t>Kesim + Silindirik Bükme</t>
        </is>
      </c>
    </row>
    <row r="18" ht="18" customHeight="1">
      <c r="B18" s="21" t="inlineStr">
        <is>
          <t>15</t>
        </is>
      </c>
      <c r="C18" s="21" t="n">
        <v>3</v>
      </c>
      <c r="D18" s="23" t="inlineStr">
        <is>
          <t>⊏ 1500×8  × 11678</t>
        </is>
      </c>
      <c r="E18" s="21" t="inlineStr">
        <is>
          <t>S275J2</t>
        </is>
      </c>
      <c r="F18" s="21" t="n">
        <v>1102</v>
      </c>
      <c r="G18" s="21" t="n">
        <v>3306</v>
      </c>
      <c r="H18" s="21" t="n">
        <v>8</v>
      </c>
      <c r="I18" s="21" t="inlineStr">
        <is>
          <t>Kesim + Silindirik Bükme (kapama)</t>
        </is>
      </c>
    </row>
    <row r="19" ht="18" customHeight="1">
      <c r="B19" s="16" t="inlineStr">
        <is>
          <t>16</t>
        </is>
      </c>
      <c r="C19" s="16" t="n">
        <v>1</v>
      </c>
      <c r="D19" s="18" t="inlineStr">
        <is>
          <t>⊏ 1500×8  × 12000</t>
        </is>
      </c>
      <c r="E19" s="16" t="inlineStr">
        <is>
          <t>S275J2</t>
        </is>
      </c>
      <c r="F19" s="16" t="n">
        <v>1132</v>
      </c>
      <c r="G19" s="16" t="n">
        <v>1132</v>
      </c>
      <c r="H19" s="16" t="n">
        <v>8</v>
      </c>
      <c r="I19" s="16" t="inlineStr">
        <is>
          <t>Kesim + Silindirik Bükme</t>
        </is>
      </c>
    </row>
    <row r="20" ht="18" customHeight="1">
      <c r="B20" s="21" t="inlineStr">
        <is>
          <t>17</t>
        </is>
      </c>
      <c r="C20" s="21" t="n">
        <v>1</v>
      </c>
      <c r="D20" s="23" t="inlineStr">
        <is>
          <t>⊏ 1500×8  × 12000</t>
        </is>
      </c>
      <c r="E20" s="21" t="inlineStr">
        <is>
          <t>S275J2</t>
        </is>
      </c>
      <c r="F20" s="21" t="n">
        <v>1132</v>
      </c>
      <c r="G20" s="21" t="n">
        <v>1132</v>
      </c>
      <c r="H20" s="21" t="n">
        <v>8</v>
      </c>
      <c r="I20" s="21" t="inlineStr">
        <is>
          <t>Kesim + Silindirik Bükme</t>
        </is>
      </c>
    </row>
    <row r="21" ht="18" customHeight="1">
      <c r="B21" s="16" t="inlineStr">
        <is>
          <t>18</t>
        </is>
      </c>
      <c r="C21" s="16" t="n">
        <v>1</v>
      </c>
      <c r="D21" s="18" t="inlineStr">
        <is>
          <t>⊏ 1500×10 × 12000</t>
        </is>
      </c>
      <c r="E21" s="16" t="inlineStr">
        <is>
          <t>S275J2</t>
        </is>
      </c>
      <c r="F21" s="16" t="n">
        <v>1415</v>
      </c>
      <c r="G21" s="16" t="n">
        <v>1415</v>
      </c>
      <c r="H21" s="16" t="n">
        <v>10</v>
      </c>
      <c r="I21" s="16" t="inlineStr">
        <is>
          <t>Kesim + Silindirik Bükme</t>
        </is>
      </c>
    </row>
    <row r="22" ht="18" customHeight="1">
      <c r="B22" s="21" t="inlineStr">
        <is>
          <t>19</t>
        </is>
      </c>
      <c r="C22" s="21" t="n">
        <v>40</v>
      </c>
      <c r="D22" s="23" t="inlineStr">
        <is>
          <t>⊏ 225×10 × 245</t>
        </is>
      </c>
      <c r="E22" s="21" t="inlineStr">
        <is>
          <t>S275J2</t>
        </is>
      </c>
      <c r="F22" s="21" t="n">
        <v>3</v>
      </c>
      <c r="G22" s="21" t="n">
        <v>120</v>
      </c>
      <c r="H22" s="21" t="n">
        <v>10</v>
      </c>
      <c r="I22" s="21" t="inlineStr">
        <is>
          <t>Kesim (Düz — takviye parçası)</t>
        </is>
      </c>
    </row>
    <row r="23" ht="18" customHeight="1">
      <c r="B23" s="16" t="inlineStr">
        <is>
          <t>20</t>
        </is>
      </c>
      <c r="C23" s="16" t="n">
        <v>1</v>
      </c>
      <c r="D23" s="18" t="inlineStr">
        <is>
          <t>⊏ 1500×10 × 10250</t>
        </is>
      </c>
      <c r="E23" s="16" t="inlineStr">
        <is>
          <t>S275J2</t>
        </is>
      </c>
      <c r="F23" s="16" t="n">
        <v>1208</v>
      </c>
      <c r="G23" s="16" t="n">
        <v>1208</v>
      </c>
      <c r="H23" s="16" t="n">
        <v>10</v>
      </c>
      <c r="I23" s="16" t="inlineStr">
        <is>
          <t>Kesim + Silindirik Bükme (kapama)</t>
        </is>
      </c>
    </row>
    <row r="24" ht="18" customHeight="1">
      <c r="B24" s="21" t="inlineStr">
        <is>
          <t>20A</t>
        </is>
      </c>
      <c r="C24" s="21" t="n">
        <v>1</v>
      </c>
      <c r="D24" s="23" t="inlineStr">
        <is>
          <t>⊏ 1500×10 × 5050</t>
        </is>
      </c>
      <c r="E24" s="21" t="inlineStr">
        <is>
          <t>S275J2</t>
        </is>
      </c>
      <c r="F24" s="21" t="n">
        <v>595</v>
      </c>
      <c r="G24" s="21" t="n">
        <v>595</v>
      </c>
      <c r="H24" s="21" t="n">
        <v>10</v>
      </c>
      <c r="I24" s="21" t="inlineStr">
        <is>
          <t>Kesim + Silindirik Bükme (kapama)</t>
        </is>
      </c>
    </row>
    <row r="25" ht="18" customHeight="1">
      <c r="B25" s="16" t="inlineStr">
        <is>
          <t>21</t>
        </is>
      </c>
      <c r="C25" s="16" t="n">
        <v>5</v>
      </c>
      <c r="D25" s="18" t="inlineStr">
        <is>
          <t>⊏ 425×10 × 12000</t>
        </is>
      </c>
      <c r="E25" s="16" t="inlineStr">
        <is>
          <t>S275J2</t>
        </is>
      </c>
      <c r="F25" s="16" t="n">
        <v>401</v>
      </c>
      <c r="G25" s="16" t="n">
        <v>2005</v>
      </c>
      <c r="H25" s="16" t="n">
        <v>10</v>
      </c>
      <c r="I25" s="16" t="inlineStr">
        <is>
          <t>Kesim (RF/Yapısal)</t>
        </is>
      </c>
    </row>
    <row r="26" ht="18" customHeight="1">
      <c r="B26" s="21" t="inlineStr">
        <is>
          <t>22</t>
        </is>
      </c>
      <c r="C26" s="21" t="n">
        <v>1</v>
      </c>
      <c r="D26" s="23" t="inlineStr">
        <is>
          <t>⊏ 425×10 × 11644</t>
        </is>
      </c>
      <c r="E26" s="21" t="inlineStr">
        <is>
          <t>S275J2</t>
        </is>
      </c>
      <c r="F26" s="21" t="n">
        <v>389</v>
      </c>
      <c r="G26" s="21" t="n">
        <v>389</v>
      </c>
      <c r="H26" s="21" t="n">
        <v>10</v>
      </c>
      <c r="I26" s="21" t="inlineStr">
        <is>
          <t>Kesim (RF/Yapısal kapama)</t>
        </is>
      </c>
    </row>
    <row r="27" ht="18" customHeight="1">
      <c r="B27" s="16" t="inlineStr">
        <is>
          <t>23</t>
        </is>
      </c>
      <c r="C27" s="16" t="n">
        <v>5</v>
      </c>
      <c r="D27" s="18" t="inlineStr">
        <is>
          <t>L 160×160×15 × 12000</t>
        </is>
      </c>
      <c r="E27" s="16" t="inlineStr">
        <is>
          <t>S275J2</t>
        </is>
      </c>
      <c r="F27" s="16" t="n">
        <v>480</v>
      </c>
      <c r="G27" s="16" t="n">
        <v>2400</v>
      </c>
      <c r="H27" s="16" t="n">
        <v>15</v>
      </c>
      <c r="I27" s="16" t="inlineStr">
        <is>
          <t>Kesim (L profil 12m çubuk)</t>
        </is>
      </c>
    </row>
    <row r="28" ht="18" customHeight="1">
      <c r="B28" s="21" t="inlineStr">
        <is>
          <t>24</t>
        </is>
      </c>
      <c r="C28" s="21" t="n">
        <v>1</v>
      </c>
      <c r="D28" s="23" t="inlineStr">
        <is>
          <t>L 160×160×15 × 231</t>
        </is>
      </c>
      <c r="E28" s="21" t="inlineStr">
        <is>
          <t>S275J2</t>
        </is>
      </c>
      <c r="F28" s="21" t="n">
        <v>9</v>
      </c>
      <c r="G28" s="21" t="n">
        <v>9</v>
      </c>
      <c r="H28" s="21" t="n">
        <v>15</v>
      </c>
      <c r="I28" s="21" t="inlineStr">
        <is>
          <t>Kesim (L profil kapama)</t>
        </is>
      </c>
    </row>
    <row r="29" ht="18" customHeight="1">
      <c r="B29" s="16" t="inlineStr">
        <is>
          <t>25</t>
        </is>
      </c>
      <c r="C29" s="16" t="n">
        <v>5</v>
      </c>
      <c r="D29" s="18" t="inlineStr">
        <is>
          <t>1/4" NPT PLUG</t>
        </is>
      </c>
      <c r="E29" s="16" t="inlineStr">
        <is>
          <t>ASTM A105</t>
        </is>
      </c>
      <c r="F29" s="16" t="inlineStr">
        <is>
          <t>—</t>
        </is>
      </c>
      <c r="G29" s="16" t="inlineStr">
        <is>
          <t>—</t>
        </is>
      </c>
      <c r="H29" s="16" t="inlineStr">
        <is>
          <t>—</t>
        </is>
      </c>
      <c r="I29" s="16" t="inlineStr">
        <is>
          <t>Tedarik</t>
        </is>
      </c>
    </row>
    <row r="30" ht="18" customHeight="1">
      <c r="B30" s="24" t="inlineStr">
        <is>
          <t>GÖVDE TOPLAM AĞIRLIK:</t>
        </is>
      </c>
      <c r="G30" s="25" t="n">
        <v>63030</v>
      </c>
      <c r="H30" s="25" t="inlineStr"/>
      <c r="I30" s="25" t="inlineStr"/>
    </row>
    <row r="32" ht="18" customHeight="1">
      <c r="B32" s="15" t="inlineStr">
        <is>
          <t>— TABAN SAC —  TOPLAM: 15,959 kg</t>
        </is>
      </c>
    </row>
    <row r="33" ht="18" customHeight="1">
      <c r="B33" s="21" t="inlineStr">
        <is>
          <t>1</t>
        </is>
      </c>
      <c r="C33" s="21" t="n">
        <v>8</v>
      </c>
      <c r="D33" s="23" t="inlineStr">
        <is>
          <t>⊏ 1475×14 × 6606</t>
        </is>
      </c>
      <c r="E33" s="21" t="inlineStr">
        <is>
          <t>S275J2</t>
        </is>
      </c>
      <c r="F33" s="21" t="n">
        <v>670</v>
      </c>
      <c r="G33" s="21" t="n">
        <v>5361</v>
      </c>
      <c r="H33" s="21" t="n">
        <v>14</v>
      </c>
      <c r="I33" s="21" t="inlineStr">
        <is>
          <t>Kesim (Annüler/Çevre)</t>
        </is>
      </c>
    </row>
    <row r="34" ht="18" customHeight="1">
      <c r="B34" s="16" t="inlineStr">
        <is>
          <t>2</t>
        </is>
      </c>
      <c r="C34" s="16" t="n">
        <v>1</v>
      </c>
      <c r="D34" s="18" t="inlineStr">
        <is>
          <t>⊏ 1475×14 × 6606</t>
        </is>
      </c>
      <c r="E34" s="16" t="inlineStr">
        <is>
          <t>S275J2</t>
        </is>
      </c>
      <c r="F34" s="16" t="n">
        <v>537</v>
      </c>
      <c r="G34" s="16" t="n">
        <v>537</v>
      </c>
      <c r="H34" s="16" t="n">
        <v>14</v>
      </c>
      <c r="I34" s="16" t="inlineStr">
        <is>
          <t>Kesim (Annüler kapama)</t>
        </is>
      </c>
    </row>
    <row r="35" ht="18" customHeight="1">
      <c r="B35" s="21" t="inlineStr">
        <is>
          <t>3</t>
        </is>
      </c>
      <c r="C35" s="21" t="n">
        <v>9</v>
      </c>
      <c r="D35" s="23" t="inlineStr">
        <is>
          <t>⊏ 1500×12 × 6000</t>
        </is>
      </c>
      <c r="E35" s="21" t="inlineStr">
        <is>
          <t>S275J2</t>
        </is>
      </c>
      <c r="F35" s="21" t="n">
        <v>849</v>
      </c>
      <c r="G35" s="21" t="n">
        <v>7641</v>
      </c>
      <c r="H35" s="21" t="n">
        <v>12</v>
      </c>
      <c r="I35" s="21" t="inlineStr">
        <is>
          <t>Kesim (Orta plaka)</t>
        </is>
      </c>
    </row>
    <row r="36" ht="18" customHeight="1">
      <c r="B36" s="16" t="inlineStr">
        <is>
          <t>4</t>
        </is>
      </c>
      <c r="C36" s="16" t="n">
        <v>2</v>
      </c>
      <c r="D36" s="18" t="inlineStr">
        <is>
          <t>⊏ 1500×12 × 6000</t>
        </is>
      </c>
      <c r="E36" s="16" t="inlineStr">
        <is>
          <t>S275J2</t>
        </is>
      </c>
      <c r="F36" s="16" t="n">
        <v>849</v>
      </c>
      <c r="G36" s="16" t="n">
        <v>1698</v>
      </c>
      <c r="H36" s="16" t="n">
        <v>12</v>
      </c>
      <c r="I36" s="16" t="inlineStr">
        <is>
          <t>Kesim (Orta plaka)</t>
        </is>
      </c>
    </row>
    <row r="37" ht="18" customHeight="1">
      <c r="B37" s="21" t="inlineStr">
        <is>
          <t>5</t>
        </is>
      </c>
      <c r="C37" s="21" t="n">
        <v>2</v>
      </c>
      <c r="D37" s="23" t="inlineStr">
        <is>
          <t>⊏ 441×12 × 5472</t>
        </is>
      </c>
      <c r="E37" s="21" t="inlineStr">
        <is>
          <t>S275J2</t>
        </is>
      </c>
      <c r="F37" s="21" t="n">
        <v>114</v>
      </c>
      <c r="G37" s="21" t="n">
        <v>228</v>
      </c>
      <c r="H37" s="21" t="n">
        <v>12</v>
      </c>
      <c r="I37" s="21" t="inlineStr">
        <is>
          <t>Kesim (Köşe)</t>
        </is>
      </c>
    </row>
    <row r="38" ht="18" customHeight="1">
      <c r="B38" s="16" t="inlineStr">
        <is>
          <t>6</t>
        </is>
      </c>
      <c r="C38" s="16" t="n">
        <v>2</v>
      </c>
      <c r="D38" s="18" t="inlineStr">
        <is>
          <t>⊏ 1500×12 × 5706</t>
        </is>
      </c>
      <c r="E38" s="16" t="inlineStr">
        <is>
          <t>S275J2</t>
        </is>
      </c>
      <c r="F38" s="16" t="n">
        <v>651</v>
      </c>
      <c r="G38" s="16" t="n">
        <v>1302</v>
      </c>
      <c r="H38" s="16" t="n">
        <v>12</v>
      </c>
      <c r="I38" s="16" t="inlineStr">
        <is>
          <t>Kesim</t>
        </is>
      </c>
    </row>
    <row r="39" ht="18" customHeight="1">
      <c r="B39" s="21" t="inlineStr">
        <is>
          <t>7</t>
        </is>
      </c>
      <c r="C39" s="21" t="n">
        <v>4</v>
      </c>
      <c r="D39" s="23" t="inlineStr">
        <is>
          <t>⊏ 1500×12 × 5673</t>
        </is>
      </c>
      <c r="E39" s="21" t="inlineStr">
        <is>
          <t>S275J2</t>
        </is>
      </c>
      <c r="F39" s="21" t="n">
        <v>788</v>
      </c>
      <c r="G39" s="21" t="n">
        <v>3152</v>
      </c>
      <c r="H39" s="21" t="n">
        <v>12</v>
      </c>
      <c r="I39" s="21" t="inlineStr">
        <is>
          <t>Kesim</t>
        </is>
      </c>
    </row>
    <row r="40" ht="18" customHeight="1">
      <c r="B40" s="16" t="inlineStr">
        <is>
          <t>8</t>
        </is>
      </c>
      <c r="C40" s="16" t="n">
        <v>4</v>
      </c>
      <c r="D40" s="18" t="inlineStr">
        <is>
          <t>⊏ 1500×12 × 5409</t>
        </is>
      </c>
      <c r="E40" s="16" t="inlineStr">
        <is>
          <t>S275J2</t>
        </is>
      </c>
      <c r="F40" s="16" t="n">
        <v>758</v>
      </c>
      <c r="G40" s="16" t="n">
        <v>3032</v>
      </c>
      <c r="H40" s="16" t="n">
        <v>12</v>
      </c>
      <c r="I40" s="16" t="inlineStr">
        <is>
          <t>Kesim</t>
        </is>
      </c>
    </row>
    <row r="41" ht="18" customHeight="1">
      <c r="B41" s="21" t="inlineStr">
        <is>
          <t>9</t>
        </is>
      </c>
      <c r="C41" s="21" t="n">
        <v>4</v>
      </c>
      <c r="D41" s="23" t="inlineStr">
        <is>
          <t>⊏ 1500×12 × 4853</t>
        </is>
      </c>
      <c r="E41" s="21" t="inlineStr">
        <is>
          <t>S275J2</t>
        </is>
      </c>
      <c r="F41" s="21" t="n">
        <v>675</v>
      </c>
      <c r="G41" s="21" t="n">
        <v>2700</v>
      </c>
      <c r="H41" s="21" t="n">
        <v>12</v>
      </c>
      <c r="I41" s="21" t="inlineStr">
        <is>
          <t>Kesim</t>
        </is>
      </c>
    </row>
    <row r="42" ht="18" customHeight="1">
      <c r="B42" s="16" t="inlineStr">
        <is>
          <t>10</t>
        </is>
      </c>
      <c r="C42" s="16" t="n">
        <v>4</v>
      </c>
      <c r="D42" s="18" t="inlineStr">
        <is>
          <t>⊏ 1500×12 × 3937</t>
        </is>
      </c>
      <c r="E42" s="16" t="inlineStr">
        <is>
          <t>S275J2</t>
        </is>
      </c>
      <c r="F42" s="16" t="n">
        <v>462</v>
      </c>
      <c r="G42" s="16" t="n">
        <v>1848</v>
      </c>
      <c r="H42" s="16" t="n">
        <v>12</v>
      </c>
      <c r="I42" s="16" t="inlineStr">
        <is>
          <t>Kesim</t>
        </is>
      </c>
    </row>
    <row r="43" ht="18" customHeight="1">
      <c r="B43" s="21" t="inlineStr">
        <is>
          <t>11</t>
        </is>
      </c>
      <c r="C43" s="21" t="n">
        <v>4</v>
      </c>
      <c r="D43" s="23" t="inlineStr">
        <is>
          <t>⊏ 1410×12 × 2482</t>
        </is>
      </c>
      <c r="E43" s="21" t="inlineStr">
        <is>
          <t>S275J2</t>
        </is>
      </c>
      <c r="F43" s="21" t="n">
        <v>186</v>
      </c>
      <c r="G43" s="21" t="n">
        <v>744</v>
      </c>
      <c r="H43" s="21" t="n">
        <v>12</v>
      </c>
      <c r="I43" s="21" t="inlineStr">
        <is>
          <t>Kesim</t>
        </is>
      </c>
    </row>
    <row r="44" ht="18" customHeight="1">
      <c r="B44" s="16" t="inlineStr">
        <is>
          <t>12</t>
        </is>
      </c>
      <c r="C44" s="16" t="n">
        <v>1</v>
      </c>
      <c r="D44" s="18" t="inlineStr">
        <is>
          <t>⊏ 50×6 × 261000</t>
        </is>
      </c>
      <c r="E44" s="16" t="inlineStr">
        <is>
          <t>S275J2</t>
        </is>
      </c>
      <c r="F44" s="16" t="n">
        <v>626</v>
      </c>
      <c r="G44" s="16" t="n">
        <v>626</v>
      </c>
      <c r="H44" s="16" t="n">
        <v>6</v>
      </c>
      <c r="I44" s="16" t="inlineStr">
        <is>
          <t>Kesim (261m drenaj şerit)</t>
        </is>
      </c>
    </row>
    <row r="45" ht="18" customHeight="1">
      <c r="B45" s="24" t="inlineStr">
        <is>
          <t>TABAN TOPLAM AĞIRLIK:</t>
        </is>
      </c>
      <c r="G45" s="25" t="n">
        <v>15959</v>
      </c>
      <c r="H45" s="25" t="inlineStr"/>
      <c r="I45" s="25" t="inlineStr"/>
    </row>
    <row r="47" ht="18" customHeight="1">
      <c r="B47" s="15" t="inlineStr">
        <is>
          <t>— TAVAN SAC —  TOPLAM: 18,797 kg</t>
        </is>
      </c>
    </row>
    <row r="48" ht="18" customHeight="1">
      <c r="B48" s="21" t="inlineStr">
        <is>
          <t>1</t>
        </is>
      </c>
      <c r="C48" s="21" t="n">
        <v>45</v>
      </c>
      <c r="D48" s="23" t="inlineStr">
        <is>
          <t>⊏ 1300×8 × 4148</t>
        </is>
      </c>
      <c r="E48" s="21" t="inlineStr">
        <is>
          <t>S275J2</t>
        </is>
      </c>
      <c r="F48" s="21" t="n">
        <v>264</v>
      </c>
      <c r="G48" s="21" t="n">
        <v>11880</v>
      </c>
      <c r="H48" s="21" t="n">
        <v>8</v>
      </c>
      <c r="I48" s="21" t="inlineStr">
        <is>
          <t>Kesim + Bükme (Sektör)</t>
        </is>
      </c>
    </row>
    <row r="49" ht="18" customHeight="1">
      <c r="B49" s="16" t="inlineStr">
        <is>
          <t>2</t>
        </is>
      </c>
      <c r="C49" s="16" t="n">
        <v>1</v>
      </c>
      <c r="D49" s="18" t="inlineStr">
        <is>
          <t>⊏ 1300×8 × 4148</t>
        </is>
      </c>
      <c r="E49" s="16" t="inlineStr">
        <is>
          <t>S275J2</t>
        </is>
      </c>
      <c r="F49" s="16" t="n">
        <v>234</v>
      </c>
      <c r="G49" s="16" t="n">
        <v>234</v>
      </c>
      <c r="H49" s="16" t="n">
        <v>8</v>
      </c>
      <c r="I49" s="16" t="inlineStr">
        <is>
          <t>Kesim + Bükme (kapama)</t>
        </is>
      </c>
    </row>
    <row r="50" ht="18" customHeight="1">
      <c r="B50" s="21" t="inlineStr">
        <is>
          <t>3</t>
        </is>
      </c>
      <c r="C50" s="21" t="n">
        <v>1</v>
      </c>
      <c r="D50" s="23" t="inlineStr">
        <is>
          <t>⊏ 1300×8 × 4148</t>
        </is>
      </c>
      <c r="E50" s="21" t="inlineStr">
        <is>
          <t>S275J2</t>
        </is>
      </c>
      <c r="F50" s="21" t="n">
        <v>264</v>
      </c>
      <c r="G50" s="21" t="n">
        <v>264</v>
      </c>
      <c r="H50" s="21" t="n">
        <v>8</v>
      </c>
      <c r="I50" s="21" t="inlineStr">
        <is>
          <t>Kesim + Bükme</t>
        </is>
      </c>
    </row>
    <row r="51" ht="18" customHeight="1">
      <c r="B51" s="16" t="inlineStr">
        <is>
          <t>4</t>
        </is>
      </c>
      <c r="C51" s="16" t="n">
        <v>1</v>
      </c>
      <c r="D51" s="18" t="inlineStr">
        <is>
          <t>⊏ 1300×8 × 4148</t>
        </is>
      </c>
      <c r="E51" s="16" t="inlineStr">
        <is>
          <t>S275J2</t>
        </is>
      </c>
      <c r="F51" s="16" t="n">
        <v>264</v>
      </c>
      <c r="G51" s="16" t="n">
        <v>264</v>
      </c>
      <c r="H51" s="16" t="n">
        <v>8</v>
      </c>
      <c r="I51" s="16" t="inlineStr">
        <is>
          <t>Kesim + Bükme</t>
        </is>
      </c>
    </row>
    <row r="52" ht="18" customHeight="1">
      <c r="B52" s="21" t="inlineStr">
        <is>
          <t>5</t>
        </is>
      </c>
      <c r="C52" s="21" t="n">
        <v>24</v>
      </c>
      <c r="D52" s="23" t="inlineStr">
        <is>
          <t>⊏ 1466×8 × 4774</t>
        </is>
      </c>
      <c r="E52" s="21" t="inlineStr">
        <is>
          <t>S275J2</t>
        </is>
      </c>
      <c r="F52" s="21" t="n">
        <v>252</v>
      </c>
      <c r="G52" s="21" t="n">
        <v>6048</v>
      </c>
      <c r="H52" s="21" t="n">
        <v>8</v>
      </c>
      <c r="I52" s="21" t="inlineStr">
        <is>
          <t>Kesim + Bükme (Sektör)</t>
        </is>
      </c>
    </row>
    <row r="53" ht="18" customHeight="1">
      <c r="B53" s="16" t="inlineStr">
        <is>
          <t>6</t>
        </is>
      </c>
      <c r="C53" s="16" t="n">
        <v>1</v>
      </c>
      <c r="D53" s="18" t="inlineStr">
        <is>
          <t>ø1450×8 (Daire)</t>
        </is>
      </c>
      <c r="E53" s="16" t="inlineStr">
        <is>
          <t>S275J2</t>
        </is>
      </c>
      <c r="F53" s="16" t="n">
        <v>107</v>
      </c>
      <c r="G53" s="16" t="n">
        <v>107</v>
      </c>
      <c r="H53" s="16" t="n">
        <v>8</v>
      </c>
      <c r="I53" s="16" t="inlineStr">
        <is>
          <t>Kesim (Merkez disk)</t>
        </is>
      </c>
    </row>
    <row r="54" ht="18" customHeight="1">
      <c r="B54" s="24" t="inlineStr">
        <is>
          <t>TAVAN TOPLAM AĞIRLIK:</t>
        </is>
      </c>
      <c r="G54" s="25" t="n">
        <v>18797</v>
      </c>
      <c r="H54" s="25" t="inlineStr"/>
      <c r="I54" s="25" t="inlineStr"/>
    </row>
    <row r="55" ht="20" customHeight="1">
      <c r="B55" s="28" t="inlineStr">
        <is>
          <t>T-201 GENEL TOPLAM  (Gövde + Taban + Tavan):</t>
        </is>
      </c>
      <c r="G55" s="29" t="n">
        <v>97786</v>
      </c>
      <c r="H55" s="29" t="inlineStr"/>
      <c r="I55" s="29" t="inlineStr"/>
    </row>
  </sheetData>
  <mergeCells count="8">
    <mergeCell ref="B30:F30"/>
    <mergeCell ref="B55:F55"/>
    <mergeCell ref="B54:F54"/>
    <mergeCell ref="B47:I47"/>
    <mergeCell ref="B3:I3"/>
    <mergeCell ref="B45:F45"/>
    <mergeCell ref="B1:I1"/>
    <mergeCell ref="B32:I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8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4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T-202 ÜRETİM TANKI  —  GÖVDE PLAKA DETAYI  (Kesim + Bükme Fabrikatörü İçin)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  (En × Kalınlık × Boy)  mm</t>
        </is>
      </c>
      <c r="E2" s="14" t="inlineStr">
        <is>
          <t>MALZEME</t>
        </is>
      </c>
      <c r="F2" s="14" t="inlineStr">
        <is>
          <t>BİRİM
Kg</t>
        </is>
      </c>
      <c r="G2" s="14" t="inlineStr">
        <is>
          <t>TOPLAM
Kg</t>
        </is>
      </c>
      <c r="H2" s="14" t="inlineStr">
        <is>
          <t>KALINLIK
(mm)</t>
        </is>
      </c>
      <c r="I2" s="14" t="inlineStr">
        <is>
          <t>İŞLEM TÜRÜ</t>
        </is>
      </c>
    </row>
    <row r="3" ht="22" customHeight="1">
      <c r="B3" s="16" t="inlineStr">
        <is>
          <t>1</t>
        </is>
      </c>
      <c r="C3" s="16" t="n">
        <v>1</v>
      </c>
      <c r="D3" s="18" t="inlineStr">
        <is>
          <t>⊏ 1480×8 × 6000</t>
        </is>
      </c>
      <c r="E3" s="16" t="inlineStr">
        <is>
          <t>S275J2</t>
        </is>
      </c>
      <c r="F3" s="16" t="n">
        <v>557.6</v>
      </c>
      <c r="G3" s="16" t="n">
        <v>557.6</v>
      </c>
      <c r="H3" s="16" t="n">
        <v>8</v>
      </c>
      <c r="I3" s="16" t="inlineStr">
        <is>
          <t>Kesim + Silindirik Bükme R=6365mm  |  Nozul N1 (Ø685) + N8 kesim</t>
        </is>
      </c>
    </row>
    <row r="4" ht="22" customHeight="1">
      <c r="B4" s="21" t="inlineStr">
        <is>
          <t>1A</t>
        </is>
      </c>
      <c r="C4" s="21" t="n">
        <v>1</v>
      </c>
      <c r="D4" s="23" t="inlineStr">
        <is>
          <t>⊏ 1480×8 × 6000</t>
        </is>
      </c>
      <c r="E4" s="21" t="inlineStr">
        <is>
          <t>S275J2</t>
        </is>
      </c>
      <c r="F4" s="21" t="n">
        <v>557</v>
      </c>
      <c r="G4" s="21" t="n">
        <v>557</v>
      </c>
      <c r="H4" s="21" t="n">
        <v>8</v>
      </c>
      <c r="I4" s="21" t="inlineStr">
        <is>
          <t>Kesim + Silindirik Bükme R=6365mm</t>
        </is>
      </c>
    </row>
    <row r="5" ht="22" customHeight="1">
      <c r="B5" s="16" t="inlineStr">
        <is>
          <t>1B</t>
        </is>
      </c>
      <c r="C5" s="16" t="n">
        <v>1</v>
      </c>
      <c r="D5" s="18" t="inlineStr">
        <is>
          <t>⊏ 1480×8 × 6000</t>
        </is>
      </c>
      <c r="E5" s="16" t="inlineStr">
        <is>
          <t>S275J2</t>
        </is>
      </c>
      <c r="F5" s="16" t="n">
        <v>552.3</v>
      </c>
      <c r="G5" s="16" t="n">
        <v>552.3</v>
      </c>
      <c r="H5" s="16" t="n">
        <v>8</v>
      </c>
      <c r="I5" s="16" t="inlineStr">
        <is>
          <t>Kesim + Silindirik Bükme R=6365mm  |  Küçük nozul kesimi</t>
        </is>
      </c>
    </row>
    <row r="6" ht="22" customHeight="1">
      <c r="B6" s="21" t="inlineStr">
        <is>
          <t>1C</t>
        </is>
      </c>
      <c r="C6" s="21" t="n">
        <v>1</v>
      </c>
      <c r="D6" s="23" t="inlineStr">
        <is>
          <t>⊏ 1480×8 × 6000</t>
        </is>
      </c>
      <c r="E6" s="21" t="inlineStr">
        <is>
          <t>S275J2</t>
        </is>
      </c>
      <c r="F6" s="21" t="n">
        <v>539.1</v>
      </c>
      <c r="G6" s="21" t="n">
        <v>539.1</v>
      </c>
      <c r="H6" s="21" t="n">
        <v>8</v>
      </c>
      <c r="I6" s="21" t="inlineStr">
        <is>
          <t>Kesim + Silindirik Bükme R=6365mm  |  Drain nozul kesimi</t>
        </is>
      </c>
    </row>
    <row r="7" ht="22" customHeight="1">
      <c r="B7" s="16" t="inlineStr">
        <is>
          <t>1D</t>
        </is>
      </c>
      <c r="C7" s="16" t="n">
        <v>1</v>
      </c>
      <c r="D7" s="18" t="inlineStr">
        <is>
          <t>⊏ 1480×8 × 6000</t>
        </is>
      </c>
      <c r="E7" s="16" t="inlineStr">
        <is>
          <t>S275J2</t>
        </is>
      </c>
      <c r="F7" s="16" t="n">
        <v>414</v>
      </c>
      <c r="G7" s="16" t="n">
        <v>414</v>
      </c>
      <c r="H7" s="16" t="n">
        <v>8</v>
      </c>
      <c r="I7" s="16" t="inlineStr">
        <is>
          <t>Kesim + Silindirik Bükme R=6365mm  |  Manhole M1 (Ø1255) kesim</t>
        </is>
      </c>
    </row>
    <row r="8" ht="22" customHeight="1">
      <c r="B8" s="21" t="inlineStr">
        <is>
          <t>1E</t>
        </is>
      </c>
      <c r="C8" s="21" t="n">
        <v>1</v>
      </c>
      <c r="D8" s="23" t="inlineStr">
        <is>
          <t>⊏ 1480×8 × 6000</t>
        </is>
      </c>
      <c r="E8" s="21" t="inlineStr">
        <is>
          <t>S275J2</t>
        </is>
      </c>
      <c r="F8" s="21" t="n">
        <v>557.6</v>
      </c>
      <c r="G8" s="21" t="n">
        <v>557.6</v>
      </c>
      <c r="H8" s="21" t="n">
        <v>8</v>
      </c>
      <c r="I8" s="21" t="inlineStr">
        <is>
          <t>Kesim + Silindirik Bükme R=6365mm</t>
        </is>
      </c>
    </row>
    <row r="9" ht="22" customHeight="1">
      <c r="B9" s="16" t="inlineStr">
        <is>
          <t>2</t>
        </is>
      </c>
      <c r="C9" s="16" t="n">
        <v>1</v>
      </c>
      <c r="D9" s="18" t="inlineStr">
        <is>
          <t>⊏ 1480×8 × 3997</t>
        </is>
      </c>
      <c r="E9" s="16" t="inlineStr">
        <is>
          <t>S275J2</t>
        </is>
      </c>
      <c r="F9" s="16" t="n">
        <v>371.5</v>
      </c>
      <c r="G9" s="16" t="n">
        <v>371.5</v>
      </c>
      <c r="H9" s="16" t="n">
        <v>8</v>
      </c>
      <c r="I9" s="16" t="inlineStr">
        <is>
          <t>Kesim + Silindirik Bükme R=6365mm  (Kapama plakası)</t>
        </is>
      </c>
    </row>
    <row r="10" ht="22" customHeight="1">
      <c r="B10" s="21" t="inlineStr">
        <is>
          <t>3</t>
        </is>
      </c>
      <c r="C10" s="21" t="n">
        <v>29</v>
      </c>
      <c r="D10" s="23" t="inlineStr">
        <is>
          <t>⊏ 1480×6 × 6000</t>
        </is>
      </c>
      <c r="E10" s="21" t="inlineStr">
        <is>
          <t>S275J2</t>
        </is>
      </c>
      <c r="F10" s="21" t="n">
        <v>418.2</v>
      </c>
      <c r="G10" s="21" t="n">
        <v>12127.8</v>
      </c>
      <c r="H10" s="21" t="n">
        <v>6</v>
      </c>
      <c r="I10" s="21" t="inlineStr">
        <is>
          <t>Kesim + Silindirik Bükme R=6365mm</t>
        </is>
      </c>
    </row>
    <row r="11" ht="22" customHeight="1">
      <c r="B11" s="16" t="inlineStr">
        <is>
          <t>3A</t>
        </is>
      </c>
      <c r="C11" s="16" t="n">
        <v>1</v>
      </c>
      <c r="D11" s="18" t="inlineStr">
        <is>
          <t>⊏ 1480×6 × 6000</t>
        </is>
      </c>
      <c r="E11" s="16" t="inlineStr">
        <is>
          <t>S275J2</t>
        </is>
      </c>
      <c r="F11" s="16" t="n">
        <v>418</v>
      </c>
      <c r="G11" s="16" t="n">
        <v>418</v>
      </c>
      <c r="H11" s="16" t="n">
        <v>6</v>
      </c>
      <c r="I11" s="16" t="inlineStr">
        <is>
          <t>Kesim + Silindirik Bükme R=6365mm  (Kapama plakası)</t>
        </is>
      </c>
    </row>
    <row r="12" ht="22" customHeight="1">
      <c r="B12" s="21" t="inlineStr">
        <is>
          <t>3B</t>
        </is>
      </c>
      <c r="C12" s="21" t="n">
        <v>1</v>
      </c>
      <c r="D12" s="23" t="inlineStr">
        <is>
          <t>⊏ 1480×6 × 6000</t>
        </is>
      </c>
      <c r="E12" s="21" t="inlineStr">
        <is>
          <t>S275J2</t>
        </is>
      </c>
      <c r="F12" s="21" t="n">
        <v>418</v>
      </c>
      <c r="G12" s="21" t="n">
        <v>418</v>
      </c>
      <c r="H12" s="21" t="n">
        <v>6</v>
      </c>
      <c r="I12" s="21" t="inlineStr">
        <is>
          <t>Kesim + Silindirik Bükme R=6365mm  (Kapama plakası)</t>
        </is>
      </c>
    </row>
    <row r="13" ht="18" customHeight="1">
      <c r="B13" s="24" t="inlineStr">
        <is>
          <t>GÖVDE TOPLAM AĞIRLIK:</t>
        </is>
      </c>
      <c r="G13" s="25" t="n">
        <v>16513</v>
      </c>
      <c r="H13" s="25" t="inlineStr"/>
      <c r="I13" s="25" t="inlineStr"/>
    </row>
    <row r="15" ht="18" customHeight="1">
      <c r="B15" s="30" t="inlineStr">
        <is>
          <t>KURS (COURSE) ÖZETİ</t>
        </is>
      </c>
    </row>
    <row r="16" ht="30" customHeight="1">
      <c r="B16" s="14" t="inlineStr">
        <is>
          <t>KURS</t>
        </is>
      </c>
      <c r="C16" s="14" t="inlineStr">
        <is>
          <t>KALINLIK</t>
        </is>
      </c>
      <c r="D16" s="14" t="inlineStr">
        <is>
          <t>YÜKSEKLİK</t>
        </is>
      </c>
      <c r="E16" s="14" t="inlineStr">
        <is>
          <t>PLAKA ADET</t>
        </is>
      </c>
      <c r="F16" s="14" t="inlineStr">
        <is>
          <t>AÇIKLAMA</t>
        </is>
      </c>
      <c r="G16" s="14" t="inlineStr">
        <is>
          <t>MALZEME</t>
        </is>
      </c>
      <c r="H16" s="14" t="inlineStr">
        <is>
          <t>AĞIRLIK (kg)</t>
        </is>
      </c>
    </row>
    <row r="17" ht="18" customHeight="1">
      <c r="B17" s="21" t="inlineStr">
        <is>
          <t>1. Kurs (Alt)</t>
        </is>
      </c>
      <c r="C17" s="21" t="inlineStr">
        <is>
          <t>8 mm</t>
        </is>
      </c>
      <c r="D17" s="21" t="n">
        <v>1480</v>
      </c>
      <c r="E17" s="21" t="inlineStr">
        <is>
          <t>7 adet (POZ 1,1A,1B,1C,1D,1E,2)</t>
        </is>
      </c>
      <c r="F17" s="21" t="inlineStr">
        <is>
          <t>Nozul/Manhole kesimli</t>
        </is>
      </c>
      <c r="G17" s="21" t="inlineStr">
        <is>
          <t>S275J2</t>
        </is>
      </c>
      <c r="H17" s="21" t="n">
        <v>3549.1</v>
      </c>
    </row>
    <row r="18" ht="18" customHeight="1">
      <c r="B18" s="16" t="inlineStr">
        <is>
          <t>2–6. Kurslar</t>
        </is>
      </c>
      <c r="C18" s="16" t="inlineStr">
        <is>
          <t>6 mm</t>
        </is>
      </c>
      <c r="D18" s="16" t="n">
        <v>1480</v>
      </c>
      <c r="E18" s="16" t="inlineStr">
        <is>
          <t>31 adet (POZ 3×29 + POZ 3A×1 + POZ 3B×1)</t>
        </is>
      </c>
      <c r="F18" s="16" t="inlineStr">
        <is>
          <t>Standart silindirik</t>
        </is>
      </c>
      <c r="G18" s="16" t="inlineStr">
        <is>
          <t>S275J2</t>
        </is>
      </c>
      <c r="H18" s="16" t="n">
        <v>12963.8</v>
      </c>
    </row>
  </sheetData>
  <mergeCells count="3">
    <mergeCell ref="B1:I1"/>
    <mergeCell ref="B13:F13"/>
    <mergeCell ref="B15:I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12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4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T-301 ATIK SU TANKI (~2,000 BBL)  —  GÖVDE + TABAN + TAVAN PLAKA DETAYI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</t>
        </is>
      </c>
      <c r="E2" s="14" t="inlineStr">
        <is>
          <t>MALZEME</t>
        </is>
      </c>
      <c r="F2" s="14" t="inlineStr">
        <is>
          <t>BİRİM Kg</t>
        </is>
      </c>
      <c r="G2" s="14" t="inlineStr">
        <is>
          <t>TOPLAM Kg</t>
        </is>
      </c>
      <c r="H2" s="14" t="inlineStr">
        <is>
          <t>KALINLIK (mm)</t>
        </is>
      </c>
      <c r="I2" s="14" t="inlineStr">
        <is>
          <t>İŞLEM TÜRÜ</t>
        </is>
      </c>
    </row>
    <row r="3" ht="18" customHeight="1">
      <c r="B3" s="27" t="inlineStr">
        <is>
          <t>— GÖVDE SAC —  St52-2</t>
        </is>
      </c>
    </row>
    <row r="4" ht="18" customHeight="1">
      <c r="B4" s="21" t="inlineStr">
        <is>
          <t>1</t>
        </is>
      </c>
      <c r="C4" s="21" t="n">
        <v>3</v>
      </c>
      <c r="D4" s="21" t="inlineStr">
        <is>
          <t>⊏ 1500×10 × 6000</t>
        </is>
      </c>
      <c r="E4" s="21" t="inlineStr">
        <is>
          <t>St52-2</t>
        </is>
      </c>
      <c r="F4" s="21" t="n">
        <v>706.5</v>
      </c>
      <c r="G4" s="21" t="n">
        <v>2119.5</v>
      </c>
      <c r="H4" s="21" t="n">
        <v>10</v>
      </c>
      <c r="I4" s="21" t="inlineStr">
        <is>
          <t>Kesim + Silindirik Bükme</t>
        </is>
      </c>
    </row>
    <row r="5" ht="18" customHeight="1">
      <c r="B5" s="16" t="inlineStr">
        <is>
          <t>2</t>
        </is>
      </c>
      <c r="C5" s="16" t="n">
        <v>1</v>
      </c>
      <c r="D5" s="16" t="inlineStr">
        <is>
          <t>⊏ 1500×10 × 4000</t>
        </is>
      </c>
      <c r="E5" s="16" t="inlineStr">
        <is>
          <t>St52-2</t>
        </is>
      </c>
      <c r="F5" s="16" t="n">
        <v>471</v>
      </c>
      <c r="G5" s="16" t="n">
        <v>471</v>
      </c>
      <c r="H5" s="16" t="n">
        <v>10</v>
      </c>
      <c r="I5" s="16" t="inlineStr">
        <is>
          <t>Kesim + Silindirik Bükme (kapama)</t>
        </is>
      </c>
    </row>
    <row r="6" ht="18" customHeight="1">
      <c r="B6" s="21" t="inlineStr">
        <is>
          <t>3</t>
        </is>
      </c>
      <c r="C6" s="21" t="n">
        <v>3</v>
      </c>
      <c r="D6" s="21" t="inlineStr">
        <is>
          <t>⊏ 1500×8  × 6000</t>
        </is>
      </c>
      <c r="E6" s="21" t="inlineStr">
        <is>
          <t>St52-2</t>
        </is>
      </c>
      <c r="F6" s="21" t="n">
        <v>565.2</v>
      </c>
      <c r="G6" s="21" t="n">
        <v>1695.6</v>
      </c>
      <c r="H6" s="21" t="n">
        <v>8</v>
      </c>
      <c r="I6" s="21" t="inlineStr">
        <is>
          <t>Kesim + Silindirik Bükme</t>
        </is>
      </c>
    </row>
    <row r="7" ht="18" customHeight="1">
      <c r="B7" s="16" t="inlineStr">
        <is>
          <t>4</t>
        </is>
      </c>
      <c r="C7" s="16" t="n">
        <v>1</v>
      </c>
      <c r="D7" s="16" t="inlineStr">
        <is>
          <t>⊏ 1500×8  × 4000</t>
        </is>
      </c>
      <c r="E7" s="16" t="inlineStr">
        <is>
          <t>St52-2</t>
        </is>
      </c>
      <c r="F7" s="16" t="n">
        <v>376.8</v>
      </c>
      <c r="G7" s="16" t="n">
        <v>376.8</v>
      </c>
      <c r="H7" s="16" t="n">
        <v>8</v>
      </c>
      <c r="I7" s="16" t="inlineStr">
        <is>
          <t>Kesim + Silindirik Bükme (kapama)</t>
        </is>
      </c>
    </row>
    <row r="8" ht="18" customHeight="1">
      <c r="B8" s="21" t="inlineStr">
        <is>
          <t>5</t>
        </is>
      </c>
      <c r="C8" s="21" t="n">
        <v>12</v>
      </c>
      <c r="D8" s="21" t="inlineStr">
        <is>
          <t>⊏ 1500×6 × 6000</t>
        </is>
      </c>
      <c r="E8" s="21" t="inlineStr">
        <is>
          <t>St52-2</t>
        </is>
      </c>
      <c r="F8" s="21" t="n">
        <v>423.9</v>
      </c>
      <c r="G8" s="21" t="n">
        <v>5086.8</v>
      </c>
      <c r="H8" s="21" t="n">
        <v>6</v>
      </c>
      <c r="I8" s="21" t="inlineStr">
        <is>
          <t>Kesim + Silindirik Bükme</t>
        </is>
      </c>
    </row>
    <row r="9" ht="18" customHeight="1">
      <c r="B9" s="16" t="inlineStr">
        <is>
          <t>6</t>
        </is>
      </c>
      <c r="C9" s="16" t="n">
        <v>4</v>
      </c>
      <c r="D9" s="16" t="inlineStr">
        <is>
          <t>⊏ 1500×6  × 4000</t>
        </is>
      </c>
      <c r="E9" s="16" t="inlineStr">
        <is>
          <t>St52-2</t>
        </is>
      </c>
      <c r="F9" s="16" t="n">
        <v>282.6</v>
      </c>
      <c r="G9" s="16" t="n">
        <v>1130.4</v>
      </c>
      <c r="H9" s="16" t="n">
        <v>6</v>
      </c>
      <c r="I9" s="16" t="inlineStr">
        <is>
          <t>Kesim + Silindirik Bükme (kapama)</t>
        </is>
      </c>
    </row>
    <row r="10" ht="18" customHeight="1">
      <c r="B10" s="24" t="inlineStr">
        <is>
          <t>GÖVDE TOPLAM AĞIRLIK:</t>
        </is>
      </c>
      <c r="G10" s="25" t="n">
        <v>10880.1</v>
      </c>
      <c r="H10" s="25" t="inlineStr"/>
      <c r="I10" s="25" t="inlineStr"/>
    </row>
    <row r="11" ht="25.5" customHeight="1"/>
    <row r="12" ht="24" customHeight="1">
      <c r="B12" s="31" t="inlineStr">
        <is>
          <t>★ T-301 TABAN ve TAVAN: Çizim temin edildiğinde güncellenecektir (yaklaşık veriler TEKLIF sayfasındadır).</t>
        </is>
      </c>
    </row>
  </sheetData>
  <mergeCells count="4">
    <mergeCell ref="B12:I12"/>
    <mergeCell ref="B1:I1"/>
    <mergeCell ref="B10:F10"/>
    <mergeCell ref="B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2026-06-05T11:22:44Z</dcterms:created>
  <dcterms:modified xsi:type="dcterms:W3CDTF">2026-06-05T12:16:20Z</dcterms:modified>
  <cp:lastModifiedBy>Tuğberk Korkmaz</cp:lastModifiedBy>
</cp:coreProperties>
</file>