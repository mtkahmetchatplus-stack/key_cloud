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arım Verileri" sheetId="1" state="visible" r:id="rId1"/>
    <sheet name="Nozul Listesi" sheetId="2" state="visible" r:id="rId2"/>
    <sheet name="Gövde Plakaları" sheetId="3" state="visible" r:id="rId3"/>
    <sheet name="Taban Plakaları" sheetId="4" state="visible" r:id="rId4"/>
    <sheet name="Tavan Plakaları" sheetId="5" state="visible" r:id="rId5"/>
    <sheet name="Nozul Malzeme Detay" sheetId="6" state="visible" r:id="rId6"/>
    <sheet name="Manhol+Temizleme" sheetId="7" state="visible" r:id="rId7"/>
    <sheet name="Konik Çatı İskeleti" sheetId="8" state="visible" r:id="rId8"/>
    <sheet name="Toplam Ağırlık Özeti" sheetId="9" state="visible" r:id="rId9"/>
    <sheet name="Maliyet Tahmin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1F4E79"/>
      <sz val="10"/>
    </font>
    <font>
      <sz val="10"/>
    </font>
    <font>
      <sz val="9"/>
    </font>
    <font>
      <b val="1"/>
      <color rgb="00FF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F99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32" customWidth="1" min="3" max="3"/>
    <col width="22" customWidth="1" min="4" max="4"/>
  </cols>
  <sheetData>
    <row r="1" ht="24" customHeight="1">
      <c r="A1" s="1" t="inlineStr">
        <is>
          <t>7000 Bbl ÜRETİM TANKI T-202  —  TASARIM VERİLERİ</t>
        </is>
      </c>
    </row>
    <row r="2" ht="30" customHeight="1">
      <c r="A2" s="2" t="inlineStr">
        <is>
          <t>PARAMETRE</t>
        </is>
      </c>
      <c r="B2" s="2" t="inlineStr">
        <is>
          <t>DEĞER</t>
        </is>
      </c>
      <c r="C2" s="2" t="inlineStr">
        <is>
          <t>PARAMETRE</t>
        </is>
      </c>
      <c r="D2" s="2" t="inlineStr">
        <is>
          <t>DEĞER</t>
        </is>
      </c>
    </row>
    <row r="3">
      <c r="A3" s="3" t="inlineStr">
        <is>
          <t>KAPASİTE</t>
        </is>
      </c>
      <c r="B3" s="4" t="inlineStr">
        <is>
          <t>7000 Bbl</t>
        </is>
      </c>
      <c r="C3" s="3" t="inlineStr">
        <is>
          <t>YÖNETMELİK</t>
        </is>
      </c>
      <c r="D3" s="4" t="inlineStr">
        <is>
          <t>API 650</t>
        </is>
      </c>
    </row>
    <row r="4">
      <c r="A4" s="5" t="inlineStr">
        <is>
          <t>SIVI</t>
        </is>
      </c>
      <c r="B4" s="6" t="inlineStr">
        <is>
          <t>HAM PETROL</t>
        </is>
      </c>
      <c r="C4" s="5" t="inlineStr">
        <is>
          <t>KOROZYON PAYI</t>
        </is>
      </c>
      <c r="D4" s="6" t="inlineStr">
        <is>
          <t>3 mm</t>
        </is>
      </c>
    </row>
    <row r="5">
      <c r="A5" s="3" t="inlineStr">
        <is>
          <t>TANK ÇAPI</t>
        </is>
      </c>
      <c r="B5" s="4" t="inlineStr">
        <is>
          <t>12.730 m</t>
        </is>
      </c>
      <c r="C5" s="3" t="inlineStr">
        <is>
          <t>YOĞUNLUK</t>
        </is>
      </c>
      <c r="D5" s="4" t="inlineStr">
        <is>
          <t>920 kg/m³</t>
        </is>
      </c>
    </row>
    <row r="6">
      <c r="A6" s="5" t="inlineStr">
        <is>
          <t>TANK YÜKSEK.</t>
        </is>
      </c>
      <c r="B6" s="6" t="inlineStr">
        <is>
          <t>8.920 m</t>
        </is>
      </c>
      <c r="C6" s="5" t="inlineStr">
        <is>
          <t>OPER. BASINCI</t>
        </is>
      </c>
      <c r="D6" s="6" t="inlineStr">
        <is>
          <t>ATMOSFERİK</t>
        </is>
      </c>
    </row>
    <row r="7">
      <c r="A7" s="3" t="inlineStr">
        <is>
          <t>ÇATI TİPİ</t>
        </is>
      </c>
      <c r="B7" s="4" t="inlineStr">
        <is>
          <t>DESTEKLİ KONİK ÇATI</t>
        </is>
      </c>
      <c r="C7" s="3" t="inlineStr">
        <is>
          <t>TAS. BASINCI</t>
        </is>
      </c>
      <c r="D7" s="4" t="inlineStr">
        <is>
          <t>1.5 / -0.2 kPa</t>
        </is>
      </c>
    </row>
    <row r="8">
      <c r="A8" s="5" t="inlineStr">
        <is>
          <t>TABAN TİPİ</t>
        </is>
      </c>
      <c r="B8" s="6" t="inlineStr">
        <is>
          <t>MERKEZDEN DIŞA EĞİMLİ</t>
        </is>
      </c>
      <c r="C8" s="5" t="inlineStr">
        <is>
          <t>OPER. SICAKLIK</t>
        </is>
      </c>
      <c r="D8" s="6" t="inlineStr">
        <is>
          <t>AMBİANT</t>
        </is>
      </c>
    </row>
    <row r="9">
      <c r="A9" s="3" t="inlineStr">
        <is>
          <t>RÜZGAR HIZI</t>
        </is>
      </c>
      <c r="B9" s="4" t="inlineStr">
        <is>
          <t>28 m/s</t>
        </is>
      </c>
      <c r="C9" s="3" t="inlineStr">
        <is>
          <t>TAS. SICAKLIK</t>
        </is>
      </c>
      <c r="D9" s="4" t="inlineStr">
        <is>
          <t>40 °C / -7 °C</t>
        </is>
      </c>
    </row>
    <row r="10">
      <c r="A10" s="5" t="inlineStr">
        <is>
          <t>SAC MALZEMESİ</t>
        </is>
      </c>
      <c r="B10" s="6" t="inlineStr">
        <is>
          <t>S275J2</t>
        </is>
      </c>
      <c r="C10" s="5" t="inlineStr">
        <is>
          <t>KAYN. VERİMİ</t>
        </is>
      </c>
      <c r="D10" s="6" t="inlineStr">
        <is>
          <t>1</t>
        </is>
      </c>
    </row>
    <row r="11">
      <c r="A11" s="3" t="inlineStr">
        <is>
          <t>ANKRAJ MALZEMESİ</t>
        </is>
      </c>
      <c r="B11" s="4" t="inlineStr">
        <is>
          <t>AISI C1030</t>
        </is>
      </c>
      <c r="C11" s="3" t="inlineStr">
        <is>
          <t>YALITIM</t>
        </is>
      </c>
      <c r="D11" s="4" t="inlineStr">
        <is>
          <t>YOK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8" customWidth="1" min="4" max="4"/>
    <col width="10" customWidth="1" min="5" max="5"/>
    <col width="12" customWidth="1" min="6" max="6"/>
    <col width="14" customWidth="1" min="7" max="7"/>
    <col width="2" customWidth="1" min="8" max="8"/>
    <col width="8" customWidth="1" min="9" max="9"/>
    <col width="8" customWidth="1" min="10" max="10"/>
    <col width="10" customWidth="1" min="11" max="11"/>
    <col width="12" customWidth="1" min="12" max="12"/>
    <col width="10" customWidth="1" min="13" max="13"/>
    <col width="14" customWidth="1" min="14" max="14"/>
    <col width="14" customWidth="1" min="15" max="15"/>
  </cols>
  <sheetData>
    <row r="1" ht="24" customHeight="1">
      <c r="A1" s="1" t="inlineStr">
        <is>
          <t>7000 Bbl ÜRETİM TANKI — NOZUL LİSTESİ VE YERLEŞİM PLANI</t>
        </is>
      </c>
    </row>
    <row r="2" ht="18" customHeight="1">
      <c r="A2" s="7" t="inlineStr">
        <is>
          <t>NOZUL LİSTESİ (Tanım ve Flanş Bilgileri)</t>
        </is>
      </c>
      <c r="I2" s="7" t="inlineStr">
        <is>
          <t>NOZZLE ELEVATION AND PROJECTION</t>
        </is>
      </c>
    </row>
    <row r="3" ht="30" customHeight="1">
      <c r="A3" s="2" t="inlineStr">
        <is>
          <t>POZ</t>
        </is>
      </c>
      <c r="B3" s="2" t="inlineStr">
        <is>
          <t>ADET</t>
        </is>
      </c>
      <c r="C3" s="2" t="inlineStr">
        <is>
          <t>TANIMI</t>
        </is>
      </c>
      <c r="D3" s="2" t="inlineStr">
        <is>
          <t>ÇAP</t>
        </is>
      </c>
      <c r="E3" s="2" t="inlineStr">
        <is>
          <t>BASINÇ</t>
        </is>
      </c>
      <c r="F3" s="2" t="inlineStr">
        <is>
          <t>FLANŞ</t>
        </is>
      </c>
      <c r="G3" s="2" t="inlineStr">
        <is>
          <t>NOTLAR</t>
        </is>
      </c>
      <c r="I3" s="2" t="inlineStr">
        <is>
          <t>MARK</t>
        </is>
      </c>
      <c r="J3" s="2" t="inlineStr">
        <is>
          <t>SIZE</t>
        </is>
      </c>
      <c r="K3" s="2" t="inlineStr">
        <is>
          <t>A (mm)</t>
        </is>
      </c>
      <c r="L3" s="2" t="inlineStr">
        <is>
          <t>B (mm)</t>
        </is>
      </c>
      <c r="M3" s="2" t="inlineStr">
        <is>
          <t>COURSE</t>
        </is>
      </c>
      <c r="N3" s="2" t="inlineStr">
        <is>
          <t>REINF.PAD</t>
        </is>
      </c>
      <c r="O3" s="2" t="inlineStr">
        <is>
          <t>NOT</t>
        </is>
      </c>
    </row>
    <row r="4">
      <c r="A4" s="6" t="inlineStr">
        <is>
          <t>N1</t>
        </is>
      </c>
      <c r="B4" s="6" t="n">
        <v>1</v>
      </c>
      <c r="C4" s="6" t="inlineStr">
        <is>
          <t>Petrol Giriş Nozulu</t>
        </is>
      </c>
      <c r="D4" s="6" t="inlineStr">
        <is>
          <t>12"</t>
        </is>
      </c>
      <c r="E4" s="6" t="inlineStr">
        <is>
          <t>LB 150</t>
        </is>
      </c>
      <c r="F4" s="6" t="inlineStr">
        <is>
          <t>SO-RF</t>
        </is>
      </c>
      <c r="G4" s="6" t="inlineStr"/>
      <c r="I4" s="6" t="inlineStr">
        <is>
          <t>N1</t>
        </is>
      </c>
      <c r="J4" s="6" t="inlineStr">
        <is>
          <t>12"</t>
        </is>
      </c>
      <c r="K4" s="6" t="n">
        <v>225</v>
      </c>
      <c r="L4" s="6" t="n">
        <v>449</v>
      </c>
      <c r="M4" s="6" t="inlineStr">
        <is>
          <t>SHELL</t>
        </is>
      </c>
      <c r="N4" s="6" t="inlineStr">
        <is>
          <t>t=8 ø685</t>
        </is>
      </c>
      <c r="O4" s="6" t="inlineStr"/>
    </row>
    <row r="5">
      <c r="A5" s="4" t="inlineStr">
        <is>
          <t>N4</t>
        </is>
      </c>
      <c r="B5" s="4" t="n">
        <v>1</v>
      </c>
      <c r="C5" s="4" t="inlineStr">
        <is>
          <t>Petrol Çıkış Nozulu</t>
        </is>
      </c>
      <c r="D5" s="4" t="inlineStr">
        <is>
          <t>12"</t>
        </is>
      </c>
      <c r="E5" s="4" t="inlineStr">
        <is>
          <t>LB 150</t>
        </is>
      </c>
      <c r="F5" s="4" t="inlineStr">
        <is>
          <t>SO-RF</t>
        </is>
      </c>
      <c r="G5" s="4" t="inlineStr">
        <is>
          <t>BOTTOM</t>
        </is>
      </c>
      <c r="I5" s="4" t="inlineStr">
        <is>
          <t>N4</t>
        </is>
      </c>
      <c r="J5" s="4" t="inlineStr">
        <is>
          <t>12"</t>
        </is>
      </c>
      <c r="K5" s="4" t="n">
        <v>225</v>
      </c>
      <c r="L5" s="4" t="n">
        <v>449</v>
      </c>
      <c r="M5" s="4" t="inlineStr">
        <is>
          <t>BOTTOM</t>
        </is>
      </c>
      <c r="N5" s="4" t="inlineStr">
        <is>
          <t>t=6 ø685</t>
        </is>
      </c>
      <c r="O5" s="4" t="inlineStr"/>
    </row>
    <row r="6">
      <c r="A6" s="6" t="inlineStr">
        <is>
          <t>N7A/B</t>
        </is>
      </c>
      <c r="B6" s="6" t="n">
        <v>2</v>
      </c>
      <c r="C6" s="6" t="inlineStr">
        <is>
          <t>Drain (Tahliye)</t>
        </is>
      </c>
      <c r="D6" s="6" t="inlineStr">
        <is>
          <t xml:space="preserve"> 6"</t>
        </is>
      </c>
      <c r="E6" s="6" t="inlineStr">
        <is>
          <t>LB 150</t>
        </is>
      </c>
      <c r="F6" s="6" t="inlineStr">
        <is>
          <t>SO-RF</t>
        </is>
      </c>
      <c r="G6" s="6" t="inlineStr">
        <is>
          <t>2 adet</t>
        </is>
      </c>
      <c r="I6" s="6" t="inlineStr">
        <is>
          <t>N7A/B</t>
        </is>
      </c>
      <c r="J6" s="6" t="inlineStr">
        <is>
          <t xml:space="preserve"> 6"</t>
        </is>
      </c>
      <c r="K6" s="6" t="n">
        <v>200</v>
      </c>
      <c r="L6" s="6" t="n">
        <v>306</v>
      </c>
      <c r="M6" s="6" t="inlineStr">
        <is>
          <t>SHELL</t>
        </is>
      </c>
      <c r="N6" s="6" t="inlineStr">
        <is>
          <t>t=8 ø400</t>
        </is>
      </c>
      <c r="O6" s="6" t="inlineStr"/>
    </row>
    <row r="7">
      <c r="A7" s="4" t="inlineStr">
        <is>
          <t>N8</t>
        </is>
      </c>
      <c r="B7" s="4" t="n">
        <v>1</v>
      </c>
      <c r="C7" s="4" t="inlineStr">
        <is>
          <t>Köpük Yapıcı</t>
        </is>
      </c>
      <c r="D7" s="4" t="inlineStr">
        <is>
          <t xml:space="preserve"> 8"</t>
        </is>
      </c>
      <c r="E7" s="4" t="inlineStr">
        <is>
          <t>LB 150</t>
        </is>
      </c>
      <c r="F7" s="4" t="inlineStr">
        <is>
          <t>SO-RF</t>
        </is>
      </c>
      <c r="G7" s="4" t="inlineStr"/>
      <c r="I7" s="4" t="inlineStr">
        <is>
          <t>N8</t>
        </is>
      </c>
      <c r="J7" s="4" t="inlineStr">
        <is>
          <t xml:space="preserve"> 8"</t>
        </is>
      </c>
      <c r="K7" s="4" t="n">
        <v>225</v>
      </c>
      <c r="L7" s="4" t="n">
        <v>8500</v>
      </c>
      <c r="M7" s="4" t="inlineStr">
        <is>
          <t>SHELL</t>
        </is>
      </c>
      <c r="N7" s="4" t="inlineStr">
        <is>
          <t>t=6 ø485</t>
        </is>
      </c>
      <c r="O7" s="4" t="inlineStr"/>
    </row>
    <row r="8">
      <c r="A8" s="6" t="inlineStr">
        <is>
          <t>N9</t>
        </is>
      </c>
      <c r="B8" s="6" t="n">
        <v>1</v>
      </c>
      <c r="C8" s="6" t="inlineStr">
        <is>
          <t>Sıcaklık Ölçümü (TI)</t>
        </is>
      </c>
      <c r="D8" s="6" t="inlineStr">
        <is>
          <t>1.5"</t>
        </is>
      </c>
      <c r="E8" s="6" t="inlineStr">
        <is>
          <t>LB 150</t>
        </is>
      </c>
      <c r="F8" s="6" t="inlineStr">
        <is>
          <t>SO-RF</t>
        </is>
      </c>
      <c r="G8" s="6" t="inlineStr"/>
      <c r="I8" s="6" t="inlineStr">
        <is>
          <t>N9</t>
        </is>
      </c>
      <c r="J8" s="6" t="inlineStr">
        <is>
          <t>1.5"</t>
        </is>
      </c>
      <c r="K8" s="6" t="n">
        <v>150</v>
      </c>
      <c r="L8" s="6" t="n">
        <v>1200</v>
      </c>
      <c r="M8" s="6" t="inlineStr">
        <is>
          <t>SHELL</t>
        </is>
      </c>
      <c r="N8" s="6" t="inlineStr">
        <is>
          <t>–</t>
        </is>
      </c>
      <c r="O8" s="6" t="inlineStr"/>
    </row>
    <row r="9">
      <c r="A9" s="4" t="inlineStr">
        <is>
          <t>N14</t>
        </is>
      </c>
      <c r="B9" s="4" t="n">
        <v>1</v>
      </c>
      <c r="C9" s="4" t="inlineStr">
        <is>
          <t>Mekanik Samandıra</t>
        </is>
      </c>
      <c r="D9" s="4" t="inlineStr">
        <is>
          <t>–</t>
        </is>
      </c>
      <c r="E9" s="4" t="inlineStr">
        <is>
          <t>–</t>
        </is>
      </c>
      <c r="F9" s="4" t="inlineStr">
        <is>
          <t>–</t>
        </is>
      </c>
      <c r="G9" s="4" t="inlineStr"/>
      <c r="I9" s="4" t="inlineStr">
        <is>
          <t>N14</t>
        </is>
      </c>
      <c r="J9" s="4" t="inlineStr">
        <is>
          <t>–</t>
        </is>
      </c>
      <c r="K9" s="4" t="inlineStr">
        <is>
          <t>–</t>
        </is>
      </c>
      <c r="L9" s="4" t="n">
        <v>6068</v>
      </c>
      <c r="M9" s="4" t="inlineStr">
        <is>
          <t>ROOF</t>
        </is>
      </c>
      <c r="N9" s="4" t="inlineStr">
        <is>
          <t>–</t>
        </is>
      </c>
      <c r="O9" s="4" t="inlineStr"/>
    </row>
    <row r="10">
      <c r="A10" s="6" t="inlineStr">
        <is>
          <t>N18</t>
        </is>
      </c>
      <c r="B10" s="6" t="n">
        <v>1</v>
      </c>
      <c r="C10" s="6" t="inlineStr">
        <is>
          <t>Yüksek Seviye Sensörü</t>
        </is>
      </c>
      <c r="D10" s="6" t="inlineStr">
        <is>
          <t xml:space="preserve"> 1"</t>
        </is>
      </c>
      <c r="E10" s="6" t="inlineStr">
        <is>
          <t>LB 150</t>
        </is>
      </c>
      <c r="F10" s="6" t="inlineStr">
        <is>
          <t>SO-RF</t>
        </is>
      </c>
      <c r="G10" s="6" t="inlineStr"/>
      <c r="I10" s="6" t="inlineStr">
        <is>
          <t>N18</t>
        </is>
      </c>
      <c r="J10" s="6" t="inlineStr">
        <is>
          <t xml:space="preserve"> 1"</t>
        </is>
      </c>
      <c r="K10" s="6" t="n">
        <v>150</v>
      </c>
      <c r="L10" s="6" t="n">
        <v>8600</v>
      </c>
      <c r="M10" s="6" t="inlineStr">
        <is>
          <t>SHELL</t>
        </is>
      </c>
      <c r="N10" s="6" t="inlineStr">
        <is>
          <t>–</t>
        </is>
      </c>
      <c r="O10" s="6" t="inlineStr"/>
    </row>
    <row r="11">
      <c r="A11" s="4" t="inlineStr">
        <is>
          <t>N19</t>
        </is>
      </c>
      <c r="B11" s="4" t="n">
        <v>1</v>
      </c>
      <c r="C11" s="4" t="inlineStr">
        <is>
          <t>Radarla Ölçüm</t>
        </is>
      </c>
      <c r="D11" s="4" t="inlineStr">
        <is>
          <t xml:space="preserve"> 6"</t>
        </is>
      </c>
      <c r="E11" s="4" t="inlineStr">
        <is>
          <t>LB 150</t>
        </is>
      </c>
      <c r="F11" s="4" t="inlineStr">
        <is>
          <t>SO-RF</t>
        </is>
      </c>
      <c r="G11" s="4" t="inlineStr">
        <is>
          <t>ROOF</t>
        </is>
      </c>
      <c r="I11" s="4" t="inlineStr">
        <is>
          <t>N19</t>
        </is>
      </c>
      <c r="J11" s="4" t="inlineStr">
        <is>
          <t xml:space="preserve"> 6"</t>
        </is>
      </c>
      <c r="K11" s="4" t="n">
        <v>200</v>
      </c>
      <c r="L11" s="4" t="n">
        <v>0</v>
      </c>
      <c r="M11" s="4" t="inlineStr">
        <is>
          <t>ROOF</t>
        </is>
      </c>
      <c r="N11" s="4" t="inlineStr">
        <is>
          <t>t=8 ø400</t>
        </is>
      </c>
      <c r="O11" s="4" t="inlineStr"/>
    </row>
    <row r="12">
      <c r="A12" s="6" t="inlineStr">
        <is>
          <t>N21</t>
        </is>
      </c>
      <c r="B12" s="6" t="n">
        <v>4</v>
      </c>
      <c r="C12" s="6" t="inlineStr">
        <is>
          <t>Hava Nozulu</t>
        </is>
      </c>
      <c r="D12" s="6" t="inlineStr">
        <is>
          <t>12"</t>
        </is>
      </c>
      <c r="E12" s="6" t="inlineStr">
        <is>
          <t>–</t>
        </is>
      </c>
      <c r="F12" s="6" t="inlineStr">
        <is>
          <t>–</t>
        </is>
      </c>
      <c r="G12" s="6" t="inlineStr">
        <is>
          <t>4 adet</t>
        </is>
      </c>
      <c r="I12" s="6" t="inlineStr">
        <is>
          <t>N21</t>
        </is>
      </c>
      <c r="J12" s="6" t="inlineStr">
        <is>
          <t>12"</t>
        </is>
      </c>
      <c r="K12" s="6" t="n">
        <v>225</v>
      </c>
      <c r="L12" s="6" t="n">
        <v>0</v>
      </c>
      <c r="M12" s="6" t="inlineStr">
        <is>
          <t>ROOF</t>
        </is>
      </c>
      <c r="N12" s="6" t="inlineStr">
        <is>
          <t>t=8 ø685</t>
        </is>
      </c>
      <c r="O12" s="6" t="inlineStr"/>
    </row>
    <row r="13">
      <c r="A13" s="4" t="inlineStr">
        <is>
          <t>M1</t>
        </is>
      </c>
      <c r="B13" s="4" t="n">
        <v>1</v>
      </c>
      <c r="C13" s="4" t="inlineStr">
        <is>
          <t>Gövde Manholu</t>
        </is>
      </c>
      <c r="D13" s="4" t="inlineStr">
        <is>
          <t>24"</t>
        </is>
      </c>
      <c r="E13" s="4" t="inlineStr">
        <is>
          <t>API 650</t>
        </is>
      </c>
      <c r="F13" s="4" t="inlineStr">
        <is>
          <t>RF</t>
        </is>
      </c>
      <c r="G13" s="4" t="inlineStr"/>
      <c r="I13" s="4" t="inlineStr">
        <is>
          <t>M1</t>
        </is>
      </c>
      <c r="J13" s="4" t="inlineStr">
        <is>
          <t>24"</t>
        </is>
      </c>
      <c r="K13" s="4" t="n">
        <v>150</v>
      </c>
      <c r="L13" s="4" t="n">
        <v>750</v>
      </c>
      <c r="M13" s="4" t="inlineStr">
        <is>
          <t>SHELL</t>
        </is>
      </c>
      <c r="N13" s="4" t="inlineStr">
        <is>
          <t>t=8 ø1255</t>
        </is>
      </c>
      <c r="O13" s="4" t="inlineStr"/>
    </row>
    <row r="14">
      <c r="A14" s="6" t="inlineStr">
        <is>
          <t>M2</t>
        </is>
      </c>
      <c r="B14" s="6" t="n">
        <v>1</v>
      </c>
      <c r="C14" s="6" t="inlineStr">
        <is>
          <t>Tavan Manholu</t>
        </is>
      </c>
      <c r="D14" s="6" t="inlineStr">
        <is>
          <t>24"</t>
        </is>
      </c>
      <c r="E14" s="6" t="inlineStr">
        <is>
          <t>API 650</t>
        </is>
      </c>
      <c r="F14" s="6" t="inlineStr">
        <is>
          <t>RF</t>
        </is>
      </c>
      <c r="G14" s="6" t="inlineStr"/>
      <c r="I14" s="6" t="inlineStr">
        <is>
          <t>M2</t>
        </is>
      </c>
      <c r="J14" s="6" t="inlineStr">
        <is>
          <t>24"</t>
        </is>
      </c>
      <c r="K14" s="6" t="n">
        <v>250</v>
      </c>
      <c r="L14" s="6" t="n">
        <v>5750</v>
      </c>
      <c r="M14" s="6" t="inlineStr">
        <is>
          <t>ROOF</t>
        </is>
      </c>
      <c r="N14" s="6" t="inlineStr">
        <is>
          <t>t=8 ø1150</t>
        </is>
      </c>
      <c r="O14" s="6" t="inlineStr"/>
    </row>
    <row r="15">
      <c r="A15" s="4" t="inlineStr">
        <is>
          <t>M3</t>
        </is>
      </c>
      <c r="B15" s="4" t="n">
        <v>1</v>
      </c>
      <c r="C15" s="4" t="inlineStr">
        <is>
          <t>Temizlik Manholu</t>
        </is>
      </c>
      <c r="D15" s="4" t="inlineStr">
        <is>
          <t>24"</t>
        </is>
      </c>
      <c r="E15" s="4" t="inlineStr">
        <is>
          <t>API 650</t>
        </is>
      </c>
      <c r="F15" s="4" t="inlineStr">
        <is>
          <t>RF</t>
        </is>
      </c>
      <c r="G15" s="4" t="inlineStr"/>
      <c r="I15" s="4" t="inlineStr">
        <is>
          <t>M3</t>
        </is>
      </c>
      <c r="J15" s="4" t="inlineStr">
        <is>
          <t>24"</t>
        </is>
      </c>
      <c r="K15" s="4" t="n">
        <v>200</v>
      </c>
      <c r="L15" s="4" t="n">
        <v>310</v>
      </c>
      <c r="M15" s="4" t="inlineStr">
        <is>
          <t>SHELL</t>
        </is>
      </c>
      <c r="N15" s="4" t="inlineStr">
        <is>
          <t>t=8 ø1830</t>
        </is>
      </c>
      <c r="O15" s="4" t="inlineStr"/>
    </row>
  </sheetData>
  <mergeCells count="3">
    <mergeCell ref="A2:G2"/>
    <mergeCell ref="A1:K1"/>
    <mergeCell ref="I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4" customWidth="1" min="4" max="4"/>
    <col width="14" customWidth="1" min="5" max="5"/>
    <col width="14" customWidth="1" min="6" max="6"/>
    <col width="12" customWidth="1" min="7" max="7"/>
    <col width="24" customWidth="1" min="8" max="8"/>
  </cols>
  <sheetData>
    <row r="1" ht="24" customHeight="1">
      <c r="A1" s="1" t="inlineStr">
        <is>
          <t>GÖVDE (SHELL) PLAKALARI MALZEME LİSTESİ  (Çizim: KEY199MECEQP2001)</t>
        </is>
      </c>
    </row>
    <row r="2" ht="40" customHeight="1">
      <c r="A2" s="2" t="inlineStr">
        <is>
          <t>POZ</t>
        </is>
      </c>
      <c r="B2" s="2" t="inlineStr">
        <is>
          <t>ADET</t>
        </is>
      </c>
      <c r="C2" s="2" t="inlineStr">
        <is>
          <t>AÇIKLAMA  (En×Kalınlık ......... Boy)  mm</t>
        </is>
      </c>
      <c r="D2" s="2" t="inlineStr">
        <is>
          <t>MALZEME</t>
        </is>
      </c>
      <c r="E2" s="2" t="inlineStr">
        <is>
          <t>BİRİM
AĞIRLIK(Kg)</t>
        </is>
      </c>
      <c r="F2" s="2" t="inlineStr">
        <is>
          <t>TOPLAM
AĞIRLIK(Kg)</t>
        </is>
      </c>
      <c r="G2" s="2" t="inlineStr">
        <is>
          <t>KALINLIK
(mm)</t>
        </is>
      </c>
      <c r="H2" s="2" t="inlineStr">
        <is>
          <t>İŞLEM TÜRÜ</t>
        </is>
      </c>
    </row>
    <row r="3">
      <c r="A3" s="4" t="inlineStr">
        <is>
          <t>1</t>
        </is>
      </c>
      <c r="B3" s="4" t="n">
        <v>1</v>
      </c>
      <c r="C3" s="4" t="inlineStr">
        <is>
          <t>⊏ 1480×8 ......... 6000</t>
        </is>
      </c>
      <c r="D3" s="4" t="inlineStr">
        <is>
          <t>S275J2</t>
        </is>
      </c>
      <c r="E3" s="4" t="n">
        <v>557.6</v>
      </c>
      <c r="F3" s="4" t="n">
        <v>557.6</v>
      </c>
      <c r="G3" s="4" t="n">
        <v>8</v>
      </c>
      <c r="H3" s="4" t="inlineStr">
        <is>
          <t>Kesim + Silindirik Bükme</t>
        </is>
      </c>
    </row>
    <row r="4">
      <c r="A4" s="6" t="inlineStr">
        <is>
          <t>1A</t>
        </is>
      </c>
      <c r="B4" s="6" t="n">
        <v>1</v>
      </c>
      <c r="C4" s="6" t="inlineStr">
        <is>
          <t>⊏ 1480×8 ......... 6000</t>
        </is>
      </c>
      <c r="D4" s="6" t="inlineStr">
        <is>
          <t>S275J2</t>
        </is>
      </c>
      <c r="E4" s="6" t="n">
        <v>557</v>
      </c>
      <c r="F4" s="6" t="n">
        <v>557</v>
      </c>
      <c r="G4" s="6" t="n">
        <v>8</v>
      </c>
      <c r="H4" s="6" t="inlineStr">
        <is>
          <t>Kesim + Silindirik Bükme</t>
        </is>
      </c>
    </row>
    <row r="5">
      <c r="A5" s="4" t="inlineStr">
        <is>
          <t>1B</t>
        </is>
      </c>
      <c r="B5" s="4" t="n">
        <v>1</v>
      </c>
      <c r="C5" s="4" t="inlineStr">
        <is>
          <t>⊏ 1480×8 ......... 6000</t>
        </is>
      </c>
      <c r="D5" s="4" t="inlineStr">
        <is>
          <t>S275J2</t>
        </is>
      </c>
      <c r="E5" s="4" t="n">
        <v>552.3</v>
      </c>
      <c r="F5" s="4" t="n">
        <v>552.3</v>
      </c>
      <c r="G5" s="4" t="n">
        <v>8</v>
      </c>
      <c r="H5" s="4" t="inlineStr">
        <is>
          <t>Kesim + Silindirik Bükme</t>
        </is>
      </c>
    </row>
    <row r="6">
      <c r="A6" s="6" t="inlineStr">
        <is>
          <t>1C</t>
        </is>
      </c>
      <c r="B6" s="6" t="n">
        <v>1</v>
      </c>
      <c r="C6" s="6" t="inlineStr">
        <is>
          <t>⊏ 1480×8 ......... 6000</t>
        </is>
      </c>
      <c r="D6" s="6" t="inlineStr">
        <is>
          <t>S275J2</t>
        </is>
      </c>
      <c r="E6" s="6" t="n">
        <v>539.1</v>
      </c>
      <c r="F6" s="6" t="n">
        <v>539.1</v>
      </c>
      <c r="G6" s="6" t="n">
        <v>8</v>
      </c>
      <c r="H6" s="6" t="inlineStr">
        <is>
          <t>Kesim + Silindirik Bükme</t>
        </is>
      </c>
    </row>
    <row r="7">
      <c r="A7" s="4" t="inlineStr">
        <is>
          <t>1D</t>
        </is>
      </c>
      <c r="B7" s="4" t="n">
        <v>1</v>
      </c>
      <c r="C7" s="4" t="inlineStr">
        <is>
          <t>⊏ 1480×8 ......... 6000</t>
        </is>
      </c>
      <c r="D7" s="4" t="inlineStr">
        <is>
          <t>S275J2</t>
        </is>
      </c>
      <c r="E7" s="4" t="n">
        <v>414</v>
      </c>
      <c r="F7" s="4" t="n">
        <v>414</v>
      </c>
      <c r="G7" s="4" t="n">
        <v>8</v>
      </c>
      <c r="H7" s="4" t="inlineStr">
        <is>
          <t>Kesim + Silindirik Bükme</t>
        </is>
      </c>
    </row>
    <row r="8">
      <c r="A8" s="6" t="inlineStr">
        <is>
          <t>1E</t>
        </is>
      </c>
      <c r="B8" s="6" t="n">
        <v>1</v>
      </c>
      <c r="C8" s="6" t="inlineStr">
        <is>
          <t>⊏ 1480×8 ......... 6000</t>
        </is>
      </c>
      <c r="D8" s="6" t="inlineStr">
        <is>
          <t>S275J2</t>
        </is>
      </c>
      <c r="E8" s="6" t="n">
        <v>557.6</v>
      </c>
      <c r="F8" s="6" t="n">
        <v>557.6</v>
      </c>
      <c r="G8" s="6" t="n">
        <v>8</v>
      </c>
      <c r="H8" s="6" t="inlineStr">
        <is>
          <t>Kesim + Silindirik Bükme</t>
        </is>
      </c>
    </row>
    <row r="9">
      <c r="A9" s="4" t="inlineStr">
        <is>
          <t>2</t>
        </is>
      </c>
      <c r="B9" s="4" t="n">
        <v>1</v>
      </c>
      <c r="C9" s="4" t="inlineStr">
        <is>
          <t>⊏ 1480×8 ......... 3997</t>
        </is>
      </c>
      <c r="D9" s="4" t="inlineStr">
        <is>
          <t>S275J2</t>
        </is>
      </c>
      <c r="E9" s="4" t="n">
        <v>371.5</v>
      </c>
      <c r="F9" s="4" t="n">
        <v>371.5</v>
      </c>
      <c r="G9" s="4" t="n">
        <v>8</v>
      </c>
      <c r="H9" s="4" t="inlineStr">
        <is>
          <t>Kesim + Silindirik Bükme</t>
        </is>
      </c>
    </row>
    <row r="10">
      <c r="A10" s="6" t="inlineStr">
        <is>
          <t>3</t>
        </is>
      </c>
      <c r="B10" s="6" t="n">
        <v>30</v>
      </c>
      <c r="C10" s="6" t="inlineStr">
        <is>
          <t>⊏ 1480×6 ......... 6000</t>
        </is>
      </c>
      <c r="D10" s="6" t="inlineStr">
        <is>
          <t>S275J2</t>
        </is>
      </c>
      <c r="E10" s="6" t="n">
        <v>418.2</v>
      </c>
      <c r="F10" s="6" t="n">
        <v>12546</v>
      </c>
      <c r="G10" s="6" t="n">
        <v>6</v>
      </c>
      <c r="H10" s="6" t="inlineStr">
        <is>
          <t>Kesim + Silindirik Bükme</t>
        </is>
      </c>
    </row>
    <row r="11">
      <c r="A11" s="4" t="inlineStr">
        <is>
          <t>3A</t>
        </is>
      </c>
      <c r="B11" s="4" t="n">
        <v>1</v>
      </c>
      <c r="C11" s="4" t="inlineStr">
        <is>
          <t>⊏ 1480×6 ......... 6000</t>
        </is>
      </c>
      <c r="D11" s="4" t="inlineStr">
        <is>
          <t>S275J2</t>
        </is>
      </c>
      <c r="E11" s="4" t="n">
        <v>418</v>
      </c>
      <c r="F11" s="4" t="n">
        <v>418</v>
      </c>
      <c r="G11" s="4" t="n">
        <v>6</v>
      </c>
      <c r="H11" s="4" t="inlineStr">
        <is>
          <t>Kesim + Silindirik Bükme</t>
        </is>
      </c>
    </row>
    <row r="12" ht="18" customHeight="1">
      <c r="A12" s="8" t="inlineStr">
        <is>
          <t>TOPLAM AĞIRLIK:</t>
        </is>
      </c>
      <c r="F12" s="9" t="n">
        <v>16513</v>
      </c>
      <c r="G12" s="9" t="inlineStr"/>
      <c r="H12" s="9" t="inlineStr"/>
    </row>
    <row r="14" ht="18" customHeight="1">
      <c r="A14" s="7" t="inlineStr">
        <is>
          <t>KURS (COURSE) ÖZETI — Gövde Plakası</t>
        </is>
      </c>
    </row>
    <row r="15" ht="30" customHeight="1">
      <c r="A15" s="2" t="inlineStr">
        <is>
          <t>KURS</t>
        </is>
      </c>
      <c r="B15" s="2" t="inlineStr">
        <is>
          <t>KALINLIK</t>
        </is>
      </c>
      <c r="C15" s="2" t="inlineStr">
        <is>
          <t>YÜKSEK.(mm)</t>
        </is>
      </c>
      <c r="D15" s="2" t="inlineStr">
        <is>
          <t>ÇEVRENİN PLAKA ADET</t>
        </is>
      </c>
      <c r="E15" s="2" t="inlineStr">
        <is>
          <t>AÇIKLAMA</t>
        </is>
      </c>
      <c r="F15" s="2" t="inlineStr">
        <is>
          <t>MALZEME</t>
        </is>
      </c>
      <c r="G15" s="2" t="inlineStr">
        <is>
          <t>AĞIRLIK (kg)</t>
        </is>
      </c>
    </row>
    <row r="16">
      <c r="A16" s="6" t="inlineStr">
        <is>
          <t>1. Kurs (Alt)</t>
        </is>
      </c>
      <c r="B16" s="6" t="inlineStr">
        <is>
          <t>8 mm</t>
        </is>
      </c>
      <c r="C16" s="6" t="n">
        <v>1480</v>
      </c>
      <c r="D16" s="6" t="inlineStr">
        <is>
          <t>7 adet (POZ 1,1A,1B,1C,1D,1E,2)</t>
        </is>
      </c>
      <c r="E16" s="6" t="inlineStr">
        <is>
          <t>Nozul kesimleri mevcut</t>
        </is>
      </c>
      <c r="F16" s="6" t="inlineStr">
        <is>
          <t>S275J2</t>
        </is>
      </c>
      <c r="G16" s="6" t="n">
        <v>3549.1</v>
      </c>
    </row>
    <row r="17">
      <c r="A17" s="4" t="inlineStr">
        <is>
          <t>2-6. Kurslar</t>
        </is>
      </c>
      <c r="B17" s="4" t="inlineStr">
        <is>
          <t>6 mm</t>
        </is>
      </c>
      <c r="C17" s="4" t="n">
        <v>1480</v>
      </c>
      <c r="D17" s="4" t="inlineStr">
        <is>
          <t>31 adet (POZ 3×30 + POZ 3A×1)</t>
        </is>
      </c>
      <c r="E17" s="4" t="inlineStr">
        <is>
          <t>Standart plakalar</t>
        </is>
      </c>
      <c r="F17" s="4" t="inlineStr">
        <is>
          <t>S275J2</t>
        </is>
      </c>
      <c r="G17" s="4" t="n">
        <v>12964</v>
      </c>
    </row>
    <row r="18">
      <c r="A18" s="10" t="inlineStr">
        <is>
          <t>NOT: Kurs yüksekliği 1480mm, toplam gövde yüksekliği ≈ 6 × 1480mm = 8880mm ≈ 8.920m. POZ 3 = 30 adet standart silindirik plaka (8mm'lik kursun nozulsuz plakaları 8mm'dir).</t>
        </is>
      </c>
    </row>
  </sheetData>
  <mergeCells count="4">
    <mergeCell ref="A18:H18"/>
    <mergeCell ref="A12:E12"/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2" customWidth="1" min="3" max="3"/>
    <col width="14" customWidth="1" min="4" max="4"/>
    <col width="14" customWidth="1" min="5" max="5"/>
    <col width="14" customWidth="1" min="6" max="6"/>
    <col width="12" customWidth="1" min="7" max="7"/>
    <col width="22" customWidth="1" min="8" max="8"/>
  </cols>
  <sheetData>
    <row r="1" ht="24" customHeight="1">
      <c r="A1" s="1" t="inlineStr">
        <is>
          <t>TABAN (BOTTOM) PLAKALARI MALZEME LİSTESİ  (Çizim: KEY199MECEQP2003)</t>
        </is>
      </c>
    </row>
    <row r="2" ht="40" customHeight="1">
      <c r="A2" s="2" t="inlineStr">
        <is>
          <t>POZ</t>
        </is>
      </c>
      <c r="B2" s="2" t="inlineStr">
        <is>
          <t>ADET</t>
        </is>
      </c>
      <c r="C2" s="2" t="inlineStr">
        <is>
          <t>AÇIKLAMA  (En×Kalınlık ......... Boy)  mm</t>
        </is>
      </c>
      <c r="D2" s="2" t="inlineStr">
        <is>
          <t>MALZEME</t>
        </is>
      </c>
      <c r="E2" s="2" t="inlineStr">
        <is>
          <t>BİRİM
AĞIRLIK(Kg)</t>
        </is>
      </c>
      <c r="F2" s="2" t="inlineStr">
        <is>
          <t>TOPLAM
AĞIRLIK(Kg)</t>
        </is>
      </c>
      <c r="G2" s="2" t="inlineStr">
        <is>
          <t>KALINLIK
(mm)</t>
        </is>
      </c>
      <c r="H2" s="2" t="inlineStr">
        <is>
          <t>İŞLEM TÜRÜ</t>
        </is>
      </c>
    </row>
    <row r="3">
      <c r="A3" s="4" t="inlineStr">
        <is>
          <t>1</t>
        </is>
      </c>
      <c r="B3" s="4" t="n">
        <v>7</v>
      </c>
      <c r="C3" s="4" t="inlineStr">
        <is>
          <t>⊏ 1500×10 ......... 5990</t>
        </is>
      </c>
      <c r="D3" s="4" t="inlineStr">
        <is>
          <t>S275J2</t>
        </is>
      </c>
      <c r="E3" s="4" t="n">
        <v>705.3</v>
      </c>
      <c r="F3" s="4" t="n">
        <v>4937.1</v>
      </c>
      <c r="G3" s="4" t="n">
        <v>10</v>
      </c>
      <c r="H3" s="4" t="inlineStr">
        <is>
          <t>Kesim + Düz Hadde</t>
        </is>
      </c>
    </row>
    <row r="4">
      <c r="A4" s="6" t="inlineStr">
        <is>
          <t>2</t>
        </is>
      </c>
      <c r="B4" s="6" t="n">
        <v>2</v>
      </c>
      <c r="C4" s="6" t="inlineStr">
        <is>
          <t>⊏ 1500×10 ......... 2684</t>
        </is>
      </c>
      <c r="D4" s="6" t="inlineStr">
        <is>
          <t>S275J2</t>
        </is>
      </c>
      <c r="E4" s="6" t="n">
        <v>314</v>
      </c>
      <c r="F4" s="6" t="n">
        <v>628</v>
      </c>
      <c r="G4" s="6" t="n">
        <v>10</v>
      </c>
      <c r="H4" s="6" t="inlineStr">
        <is>
          <t>Kesim + Düz Hadde</t>
        </is>
      </c>
    </row>
    <row r="5">
      <c r="A5" s="4" t="inlineStr">
        <is>
          <t>3</t>
        </is>
      </c>
      <c r="B5" s="4" t="n">
        <v>4</v>
      </c>
      <c r="C5" s="4" t="inlineStr">
        <is>
          <t>⊏ 1500×10 ......... 635</t>
        </is>
      </c>
      <c r="D5" s="4" t="inlineStr">
        <is>
          <t>S275J2</t>
        </is>
      </c>
      <c r="E5" s="4" t="n">
        <v>55.5</v>
      </c>
      <c r="F5" s="4" t="n">
        <v>222</v>
      </c>
      <c r="G5" s="4" t="n">
        <v>10</v>
      </c>
      <c r="H5" s="4" t="inlineStr">
        <is>
          <t>Kesim</t>
        </is>
      </c>
    </row>
    <row r="6">
      <c r="A6" s="6" t="inlineStr">
        <is>
          <t>4</t>
        </is>
      </c>
      <c r="B6" s="6" t="n">
        <v>3</v>
      </c>
      <c r="C6" s="6" t="inlineStr">
        <is>
          <t>⊏ 1500×10 ......... 2262</t>
        </is>
      </c>
      <c r="D6" s="6" t="inlineStr">
        <is>
          <t>S275J2</t>
        </is>
      </c>
      <c r="E6" s="6" t="n">
        <v>219.2</v>
      </c>
      <c r="F6" s="6" t="n">
        <v>657.6</v>
      </c>
      <c r="G6" s="6" t="n">
        <v>10</v>
      </c>
      <c r="H6" s="6" t="inlineStr">
        <is>
          <t>Kesim + Düz Hadde</t>
        </is>
      </c>
    </row>
    <row r="7">
      <c r="A7" s="4" t="inlineStr">
        <is>
          <t>5</t>
        </is>
      </c>
      <c r="B7" s="4" t="n">
        <v>1</v>
      </c>
      <c r="C7" s="4" t="inlineStr">
        <is>
          <t>⊏ 1500×10 ......... 2675.5</t>
        </is>
      </c>
      <c r="D7" s="4" t="inlineStr">
        <is>
          <t>S275J2</t>
        </is>
      </c>
      <c r="E7" s="4" t="n">
        <v>222</v>
      </c>
      <c r="F7" s="4" t="n">
        <v>222</v>
      </c>
      <c r="G7" s="4" t="n">
        <v>10</v>
      </c>
      <c r="H7" s="4" t="inlineStr">
        <is>
          <t>Kesim + Düz Hadde</t>
        </is>
      </c>
    </row>
    <row r="8">
      <c r="A8" s="6" t="inlineStr">
        <is>
          <t>6</t>
        </is>
      </c>
      <c r="B8" s="6" t="n">
        <v>1</v>
      </c>
      <c r="C8" s="6" t="inlineStr">
        <is>
          <t>⊏ 1500×10 ......... 4394.5</t>
        </is>
      </c>
      <c r="D8" s="6" t="inlineStr">
        <is>
          <t>S275J2</t>
        </is>
      </c>
      <c r="E8" s="6" t="n">
        <v>557</v>
      </c>
      <c r="F8" s="6" t="n">
        <v>557</v>
      </c>
      <c r="G8" s="6" t="n">
        <v>10</v>
      </c>
      <c r="H8" s="6" t="inlineStr">
        <is>
          <t>Kesim + Düz Hadde</t>
        </is>
      </c>
    </row>
    <row r="9">
      <c r="A9" s="4" t="inlineStr">
        <is>
          <t>7</t>
        </is>
      </c>
      <c r="B9" s="4" t="n">
        <v>2</v>
      </c>
      <c r="C9" s="4" t="inlineStr">
        <is>
          <t>⊏ 1500×10 ......... 2994</t>
        </is>
      </c>
      <c r="D9" s="4" t="inlineStr">
        <is>
          <t>S275J2</t>
        </is>
      </c>
      <c r="E9" s="4" t="n">
        <v>347.4</v>
      </c>
      <c r="F9" s="4" t="n">
        <v>694.8</v>
      </c>
      <c r="G9" s="4" t="n">
        <v>10</v>
      </c>
      <c r="H9" s="4" t="inlineStr">
        <is>
          <t>Kesim + Düz Hadde</t>
        </is>
      </c>
    </row>
    <row r="10">
      <c r="A10" s="6" t="inlineStr">
        <is>
          <t>8</t>
        </is>
      </c>
      <c r="B10" s="6" t="n">
        <v>2</v>
      </c>
      <c r="C10" s="6" t="inlineStr">
        <is>
          <t>⊏ 632×10 .......... 5207.5</t>
        </is>
      </c>
      <c r="D10" s="6" t="inlineStr">
        <is>
          <t>S275J2</t>
        </is>
      </c>
      <c r="E10" s="6" t="n">
        <v>174.1</v>
      </c>
      <c r="F10" s="6" t="n">
        <v>348.2</v>
      </c>
      <c r="G10" s="6" t="n">
        <v>10</v>
      </c>
      <c r="H10" s="6" t="inlineStr">
        <is>
          <t>Kesim + Düz Hadde</t>
        </is>
      </c>
    </row>
    <row r="11">
      <c r="A11" s="4" t="inlineStr">
        <is>
          <t>9</t>
        </is>
      </c>
      <c r="B11" s="4" t="n">
        <v>6</v>
      </c>
      <c r="C11" s="4" t="inlineStr">
        <is>
          <t>⊏ 800×12 .......... 5937</t>
        </is>
      </c>
      <c r="D11" s="4" t="inlineStr">
        <is>
          <t>S275J2</t>
        </is>
      </c>
      <c r="E11" s="4" t="n">
        <v>436.1</v>
      </c>
      <c r="F11" s="4" t="n">
        <v>2616.6</v>
      </c>
      <c r="G11" s="4" t="n">
        <v>12</v>
      </c>
      <c r="H11" s="4" t="inlineStr">
        <is>
          <t>Kesim + Düz Hadde (Anüler)</t>
        </is>
      </c>
    </row>
    <row r="12">
      <c r="A12" s="6" t="inlineStr">
        <is>
          <t>9A</t>
        </is>
      </c>
      <c r="B12" s="6" t="n">
        <v>1</v>
      </c>
      <c r="C12" s="6" t="inlineStr">
        <is>
          <t>⊏ 800×12 .......... 3327</t>
        </is>
      </c>
      <c r="D12" s="6" t="inlineStr">
        <is>
          <t>S275J2</t>
        </is>
      </c>
      <c r="E12" s="6" t="n">
        <v>237.8</v>
      </c>
      <c r="F12" s="6" t="n">
        <v>237.8</v>
      </c>
      <c r="G12" s="6" t="n">
        <v>12</v>
      </c>
      <c r="H12" s="6" t="inlineStr">
        <is>
          <t>Kesim + Düz Hadde (Anüler)</t>
        </is>
      </c>
    </row>
    <row r="13">
      <c r="A13" s="4" t="inlineStr">
        <is>
          <t>10</t>
        </is>
      </c>
      <c r="B13" s="4" t="n">
        <v>8</v>
      </c>
      <c r="C13" s="4" t="inlineStr">
        <is>
          <t>⊏ 50×5 ............. 720</t>
        </is>
      </c>
      <c r="D13" s="4" t="inlineStr">
        <is>
          <t>S275J2</t>
        </is>
      </c>
      <c r="E13" s="4" t="n">
        <v>1.42</v>
      </c>
      <c r="F13" s="4" t="n">
        <v>11.4</v>
      </c>
      <c r="G13" s="4" t="n">
        <v>5</v>
      </c>
      <c r="H13" s="4" t="inlineStr">
        <is>
          <t>Kesim (Drenaj strip)</t>
        </is>
      </c>
    </row>
    <row r="14">
      <c r="A14" s="6" t="inlineStr">
        <is>
          <t>11</t>
        </is>
      </c>
      <c r="B14" s="6" t="n">
        <v>1</v>
      </c>
      <c r="C14" s="6" t="inlineStr">
        <is>
          <t>⊏ 50×5 ............. 1301.5</t>
        </is>
      </c>
      <c r="D14" s="6" t="inlineStr">
        <is>
          <t>S275J2</t>
        </is>
      </c>
      <c r="E14" s="6" t="n">
        <v>2.55</v>
      </c>
      <c r="F14" s="6" t="n">
        <v>2.55</v>
      </c>
      <c r="G14" s="6" t="n">
        <v>5</v>
      </c>
      <c r="H14" s="6" t="inlineStr">
        <is>
          <t>Kesim (Drenaj strip)</t>
        </is>
      </c>
    </row>
    <row r="15">
      <c r="A15" s="4" t="inlineStr">
        <is>
          <t>12</t>
        </is>
      </c>
      <c r="B15" s="4" t="n">
        <v>13</v>
      </c>
      <c r="C15" s="4" t="inlineStr">
        <is>
          <t>⊏ 50×5 ............. 1400</t>
        </is>
      </c>
      <c r="D15" s="4" t="inlineStr">
        <is>
          <t>S275J2</t>
        </is>
      </c>
      <c r="E15" s="4" t="n">
        <v>2.8</v>
      </c>
      <c r="F15" s="4" t="n">
        <v>36.4</v>
      </c>
      <c r="G15" s="4" t="n">
        <v>5</v>
      </c>
      <c r="H15" s="4" t="inlineStr">
        <is>
          <t>Kesim (Drenaj strip)</t>
        </is>
      </c>
    </row>
    <row r="16">
      <c r="A16" s="6" t="inlineStr">
        <is>
          <t>13</t>
        </is>
      </c>
      <c r="B16" s="6" t="n">
        <v>1</v>
      </c>
      <c r="C16" s="6" t="inlineStr">
        <is>
          <t>⊏ 50×5 ............. 2641.5</t>
        </is>
      </c>
      <c r="D16" s="6" t="inlineStr">
        <is>
          <t>S275J2</t>
        </is>
      </c>
      <c r="E16" s="6" t="n">
        <v>5.18</v>
      </c>
      <c r="F16" s="6" t="n">
        <v>5.18</v>
      </c>
      <c r="G16" s="6" t="n">
        <v>5</v>
      </c>
      <c r="H16" s="6" t="inlineStr">
        <is>
          <t>Kesim (Drenaj strip)</t>
        </is>
      </c>
    </row>
    <row r="17">
      <c r="A17" s="8" t="inlineStr">
        <is>
          <t>TOPLAM AĞIRLIK:</t>
        </is>
      </c>
      <c r="F17" s="9" t="n">
        <v>11176.7</v>
      </c>
      <c r="G17" s="9" t="inlineStr"/>
      <c r="H17" s="9" t="inlineStr"/>
    </row>
    <row r="19" ht="18" customHeight="1">
      <c r="A19" s="7" t="inlineStr">
        <is>
          <t>MALZEME LİSTESİ (DRENAJ ÇUKURU İÇİN)  —  Toplam: 76.1 Kg</t>
        </is>
      </c>
    </row>
    <row r="20">
      <c r="A20" s="10" t="inlineStr">
        <is>
          <t>Drenaj çukuru detay tablosu: Toplam ağırlık 76.1 Kg (detay kaynak çizimde)</t>
        </is>
      </c>
    </row>
    <row r="22" ht="18" customHeight="1">
      <c r="A22" s="7" t="inlineStr">
        <is>
          <t>MALZEME LİSTESİ (ANKRAJLAR İÇİN)  —  NOT: 1 komple için, 16 adet imal edilecektir.</t>
        </is>
      </c>
    </row>
    <row r="23" ht="30" customHeight="1">
      <c r="A23" s="2" t="inlineStr">
        <is>
          <t>POZ</t>
        </is>
      </c>
      <c r="B23" s="2" t="inlineStr">
        <is>
          <t>ADET</t>
        </is>
      </c>
      <c r="C23" s="2" t="inlineStr">
        <is>
          <t>AÇIKLAMA</t>
        </is>
      </c>
      <c r="D23" s="2" t="inlineStr">
        <is>
          <t>MALZEME</t>
        </is>
      </c>
      <c r="E23" s="2" t="inlineStr">
        <is>
          <t>BİRİM
AĞIRLIK(Kg)</t>
        </is>
      </c>
      <c r="F23" s="2" t="inlineStr">
        <is>
          <t>TOPLAM
AĞIRLIK(Kg)</t>
        </is>
      </c>
      <c r="G23" s="2" t="inlineStr">
        <is>
          <t>İŞLEM</t>
        </is>
      </c>
    </row>
    <row r="24">
      <c r="A24" s="6" t="n">
        <v>1</v>
      </c>
      <c r="B24" s="6" t="n">
        <v>1</v>
      </c>
      <c r="C24" s="6" t="inlineStr">
        <is>
          <t>⊏ 200×8 ........... 205</t>
        </is>
      </c>
      <c r="D24" s="6" t="inlineStr">
        <is>
          <t>S275J2</t>
        </is>
      </c>
      <c r="E24" s="6" t="n">
        <v>2.6</v>
      </c>
      <c r="F24" s="6" t="n">
        <v>2.6</v>
      </c>
      <c r="G24" s="6" t="inlineStr">
        <is>
          <t>Kesim</t>
        </is>
      </c>
    </row>
    <row r="25">
      <c r="A25" s="4" t="n">
        <v>2</v>
      </c>
      <c r="B25" s="4" t="n">
        <v>2</v>
      </c>
      <c r="C25" s="4" t="inlineStr">
        <is>
          <t>⊏ 175×15 .......... 180</t>
        </is>
      </c>
      <c r="D25" s="4" t="inlineStr">
        <is>
          <t>S275J2</t>
        </is>
      </c>
      <c r="E25" s="4" t="n">
        <v>2.7</v>
      </c>
      <c r="F25" s="4" t="n">
        <v>5.5</v>
      </c>
      <c r="G25" s="4" t="inlineStr">
        <is>
          <t>Kesim</t>
        </is>
      </c>
    </row>
    <row r="26">
      <c r="A26" s="6" t="n">
        <v>3</v>
      </c>
      <c r="B26" s="6" t="n">
        <v>1</v>
      </c>
      <c r="C26" s="6" t="inlineStr">
        <is>
          <t>⊏ 150×20 .......... 175</t>
        </is>
      </c>
      <c r="D26" s="6" t="inlineStr">
        <is>
          <t>S275J2</t>
        </is>
      </c>
      <c r="E26" s="6" t="n">
        <v>4</v>
      </c>
      <c r="F26" s="6" t="n">
        <v>4</v>
      </c>
      <c r="G26" s="6" t="inlineStr">
        <is>
          <t>Kesim</t>
        </is>
      </c>
    </row>
    <row r="27">
      <c r="A27" s="4" t="n">
        <v>4</v>
      </c>
      <c r="B27" s="4" t="n">
        <v>1</v>
      </c>
      <c r="C27" s="4" t="inlineStr">
        <is>
          <t>⊏ 80×20 ........... 80</t>
        </is>
      </c>
      <c r="D27" s="4" t="inlineStr">
        <is>
          <t>S275J2</t>
        </is>
      </c>
      <c r="E27" s="4" t="n">
        <v>0.95</v>
      </c>
      <c r="F27" s="4" t="n">
        <v>0.95</v>
      </c>
      <c r="G27" s="4" t="inlineStr">
        <is>
          <t>Kesim</t>
        </is>
      </c>
    </row>
    <row r="28">
      <c r="A28" s="8" t="inlineStr">
        <is>
          <t>TOPLAM AĞIRLIK (1 Komple): 13.5 Kg  |  16 Adet → 216 Kg</t>
        </is>
      </c>
      <c r="F28" s="9" t="n">
        <v>216</v>
      </c>
      <c r="G28" s="9" t="inlineStr"/>
    </row>
  </sheetData>
  <mergeCells count="6">
    <mergeCell ref="A20:H20"/>
    <mergeCell ref="A28:E28"/>
    <mergeCell ref="A19:H19"/>
    <mergeCell ref="A1:H1"/>
    <mergeCell ref="A17:E17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2" customWidth="1" min="3" max="3"/>
    <col width="14" customWidth="1" min="4" max="4"/>
    <col width="14" customWidth="1" min="5" max="5"/>
    <col width="14" customWidth="1" min="6" max="6"/>
    <col width="12" customWidth="1" min="7" max="7"/>
    <col width="22" customWidth="1" min="8" max="8"/>
  </cols>
  <sheetData>
    <row r="1" ht="24" customHeight="1">
      <c r="A1" s="1" t="inlineStr">
        <is>
          <t>KONİK TAVAN PLAKALARI MALZEME LİSTESİ  (Çizim: KEY199MECEQP2002)</t>
        </is>
      </c>
    </row>
    <row r="2" ht="40" customHeight="1">
      <c r="A2" s="2" t="inlineStr">
        <is>
          <t>POZ</t>
        </is>
      </c>
      <c r="B2" s="2" t="inlineStr">
        <is>
          <t>ADET</t>
        </is>
      </c>
      <c r="C2" s="2" t="inlineStr">
        <is>
          <t>AÇIKLAMA  (En×Kalınlık ......... Boy)  mm</t>
        </is>
      </c>
      <c r="D2" s="2" t="inlineStr">
        <is>
          <t>MALZEME</t>
        </is>
      </c>
      <c r="E2" s="2" t="inlineStr">
        <is>
          <t>BİRİM
AĞIRLIK(Kg)</t>
        </is>
      </c>
      <c r="F2" s="2" t="inlineStr">
        <is>
          <t>TOPLAM
AĞIRLIK(Kg)</t>
        </is>
      </c>
      <c r="G2" s="2" t="inlineStr">
        <is>
          <t>KALINLIK
(mm)</t>
        </is>
      </c>
      <c r="H2" s="2" t="inlineStr">
        <is>
          <t>İŞLEM TÜRÜ</t>
        </is>
      </c>
    </row>
    <row r="3">
      <c r="A3" s="4" t="inlineStr">
        <is>
          <t>1</t>
        </is>
      </c>
      <c r="B3" s="4" t="n">
        <v>4</v>
      </c>
      <c r="C3" s="4" t="inlineStr">
        <is>
          <t>⊏ 1500×8 ......... 6000</t>
        </is>
      </c>
      <c r="D3" s="4" t="inlineStr">
        <is>
          <t>S275J2</t>
        </is>
      </c>
      <c r="E3" s="4" t="n">
        <v>565.2</v>
      </c>
      <c r="F3" s="4" t="n">
        <v>1695.6</v>
      </c>
      <c r="G3" s="4" t="n">
        <v>8</v>
      </c>
      <c r="H3" s="4" t="inlineStr">
        <is>
          <t>Kesim + Konik Bükme</t>
        </is>
      </c>
    </row>
    <row r="4">
      <c r="A4" s="6" t="inlineStr">
        <is>
          <t>1A</t>
        </is>
      </c>
      <c r="B4" s="6" t="n">
        <v>1</v>
      </c>
      <c r="C4" s="6" t="inlineStr">
        <is>
          <t>⊏ 1500×8 ......... 6000</t>
        </is>
      </c>
      <c r="D4" s="6" t="inlineStr">
        <is>
          <t>S275J2</t>
        </is>
      </c>
      <c r="E4" s="6" t="n">
        <v>560</v>
      </c>
      <c r="F4" s="6" t="n">
        <v>560</v>
      </c>
      <c r="G4" s="6" t="n">
        <v>8</v>
      </c>
      <c r="H4" s="6" t="inlineStr">
        <is>
          <t>Kesim + Konik Bükme</t>
        </is>
      </c>
    </row>
    <row r="5">
      <c r="A5" s="4" t="inlineStr">
        <is>
          <t>1B</t>
        </is>
      </c>
      <c r="B5" s="4" t="n">
        <v>1</v>
      </c>
      <c r="C5" s="4" t="inlineStr">
        <is>
          <t>⊏ 1500×8 ......... 6000</t>
        </is>
      </c>
      <c r="D5" s="4" t="inlineStr">
        <is>
          <t>S275J2</t>
        </is>
      </c>
      <c r="E5" s="4" t="n">
        <v>560</v>
      </c>
      <c r="F5" s="4" t="n">
        <v>560</v>
      </c>
      <c r="G5" s="4" t="n">
        <v>8</v>
      </c>
      <c r="H5" s="4" t="inlineStr">
        <is>
          <t>Kesim + Konik Bükme</t>
        </is>
      </c>
    </row>
    <row r="6">
      <c r="A6" s="6" t="inlineStr">
        <is>
          <t>1C</t>
        </is>
      </c>
      <c r="B6" s="6" t="n">
        <v>1</v>
      </c>
      <c r="C6" s="6" t="inlineStr">
        <is>
          <t>⊏ 1500×8 ......... 6000</t>
        </is>
      </c>
      <c r="D6" s="6" t="inlineStr">
        <is>
          <t>S275J2</t>
        </is>
      </c>
      <c r="E6" s="6" t="n">
        <v>560</v>
      </c>
      <c r="F6" s="6" t="n">
        <v>560</v>
      </c>
      <c r="G6" s="6" t="n">
        <v>8</v>
      </c>
      <c r="H6" s="6" t="inlineStr">
        <is>
          <t>Kesim + Konik Bükme</t>
        </is>
      </c>
    </row>
    <row r="7">
      <c r="A7" s="4" t="inlineStr">
        <is>
          <t>2</t>
        </is>
      </c>
      <c r="B7" s="4" t="n">
        <v>2</v>
      </c>
      <c r="C7" s="4" t="inlineStr">
        <is>
          <t>⊏ 1500×8 ......... 3560.5</t>
        </is>
      </c>
      <c r="D7" s="4" t="inlineStr">
        <is>
          <t>S275J2</t>
        </is>
      </c>
      <c r="E7" s="4" t="n">
        <v>334</v>
      </c>
      <c r="F7" s="4" t="n">
        <v>668</v>
      </c>
      <c r="G7" s="4" t="n">
        <v>8</v>
      </c>
      <c r="H7" s="4" t="inlineStr">
        <is>
          <t>Kesim + Konik Bükme</t>
        </is>
      </c>
    </row>
    <row r="8">
      <c r="A8" s="6" t="inlineStr">
        <is>
          <t>3</t>
        </is>
      </c>
      <c r="B8" s="6" t="n">
        <v>4</v>
      </c>
      <c r="C8" s="6" t="inlineStr">
        <is>
          <t>⊏ 1500×8 ......... 548</t>
        </is>
      </c>
      <c r="D8" s="6" t="inlineStr">
        <is>
          <t>S275J2</t>
        </is>
      </c>
      <c r="E8" s="6" t="n">
        <v>38.3</v>
      </c>
      <c r="F8" s="6" t="n">
        <v>153.2</v>
      </c>
      <c r="G8" s="6" t="n">
        <v>8</v>
      </c>
      <c r="H8" s="6" t="inlineStr">
        <is>
          <t>Kesim + Konik Bükme</t>
        </is>
      </c>
    </row>
    <row r="9">
      <c r="A9" s="4" t="inlineStr">
        <is>
          <t>4</t>
        </is>
      </c>
      <c r="B9" s="4" t="n">
        <v>4</v>
      </c>
      <c r="C9" s="4" t="inlineStr">
        <is>
          <t>⊏ 1500×8 ......... 3195.5</t>
        </is>
      </c>
      <c r="D9" s="4" t="inlineStr">
        <is>
          <t>S275J2</t>
        </is>
      </c>
      <c r="E9" s="4" t="n">
        <v>269.3</v>
      </c>
      <c r="F9" s="4" t="n">
        <v>1077.2</v>
      </c>
      <c r="G9" s="4" t="n">
        <v>8</v>
      </c>
      <c r="H9" s="4" t="inlineStr">
        <is>
          <t>Kesim + Konik Bükme</t>
        </is>
      </c>
    </row>
    <row r="10">
      <c r="A10" s="6" t="inlineStr">
        <is>
          <t>5</t>
        </is>
      </c>
      <c r="B10" s="6" t="n">
        <v>2</v>
      </c>
      <c r="C10" s="6" t="inlineStr">
        <is>
          <t>⊏ 1500×8 ......... 2873</t>
        </is>
      </c>
      <c r="D10" s="6" t="inlineStr">
        <is>
          <t>S275J2</t>
        </is>
      </c>
      <c r="E10" s="6" t="n">
        <v>257.3</v>
      </c>
      <c r="F10" s="6" t="n">
        <v>514.6</v>
      </c>
      <c r="G10" s="6" t="n">
        <v>8</v>
      </c>
      <c r="H10" s="6" t="inlineStr">
        <is>
          <t>Kesim + Konik Bükme</t>
        </is>
      </c>
    </row>
    <row r="11">
      <c r="A11" s="4" t="inlineStr">
        <is>
          <t>5A</t>
        </is>
      </c>
      <c r="B11" s="4" t="n">
        <v>1</v>
      </c>
      <c r="C11" s="4" t="inlineStr">
        <is>
          <t>⊏ 1500×8 ......... 2873</t>
        </is>
      </c>
      <c r="D11" s="4" t="inlineStr">
        <is>
          <t>S275J2</t>
        </is>
      </c>
      <c r="E11" s="4" t="n">
        <v>254.5</v>
      </c>
      <c r="F11" s="4" t="n">
        <v>254.5</v>
      </c>
      <c r="G11" s="4" t="n">
        <v>8</v>
      </c>
      <c r="H11" s="4" t="inlineStr">
        <is>
          <t>Kesim + Konik Bükme</t>
        </is>
      </c>
    </row>
    <row r="12">
      <c r="A12" s="6" t="inlineStr">
        <is>
          <t>5B</t>
        </is>
      </c>
      <c r="B12" s="6" t="n">
        <v>1</v>
      </c>
      <c r="C12" s="6" t="inlineStr">
        <is>
          <t>⊏ 1500×8 ......... 2873</t>
        </is>
      </c>
      <c r="D12" s="6" t="inlineStr">
        <is>
          <t>S275J2</t>
        </is>
      </c>
      <c r="E12" s="6" t="n">
        <v>254.5</v>
      </c>
      <c r="F12" s="6" t="n">
        <v>254.5</v>
      </c>
      <c r="G12" s="6" t="n">
        <v>8</v>
      </c>
      <c r="H12" s="6" t="inlineStr">
        <is>
          <t>Kesim + Konik Bükme</t>
        </is>
      </c>
    </row>
    <row r="13">
      <c r="A13" s="4" t="inlineStr">
        <is>
          <t>6</t>
        </is>
      </c>
      <c r="B13" s="4" t="n">
        <v>3</v>
      </c>
      <c r="C13" s="4" t="inlineStr">
        <is>
          <t>⊏ 1500×8 ......... 2545.5</t>
        </is>
      </c>
      <c r="D13" s="4" t="inlineStr">
        <is>
          <t>S275J2</t>
        </is>
      </c>
      <c r="E13" s="4" t="n">
        <v>208</v>
      </c>
      <c r="F13" s="4" t="n">
        <v>624</v>
      </c>
      <c r="G13" s="4" t="n">
        <v>8</v>
      </c>
      <c r="H13" s="4" t="inlineStr">
        <is>
          <t>Kesim + Konik Bükme</t>
        </is>
      </c>
    </row>
    <row r="14">
      <c r="A14" s="6" t="inlineStr">
        <is>
          <t>6A</t>
        </is>
      </c>
      <c r="B14" s="6" t="n">
        <v>1</v>
      </c>
      <c r="C14" s="6" t="inlineStr">
        <is>
          <t>⊏ 1500×8 ......... 2545.5</t>
        </is>
      </c>
      <c r="D14" s="6" t="inlineStr">
        <is>
          <t>S275J2</t>
        </is>
      </c>
      <c r="E14" s="6" t="n">
        <v>190</v>
      </c>
      <c r="F14" s="6" t="n">
        <v>190</v>
      </c>
      <c r="G14" s="6" t="n">
        <v>8</v>
      </c>
      <c r="H14" s="6" t="inlineStr">
        <is>
          <t>Kesim + Konik Bükme</t>
        </is>
      </c>
    </row>
    <row r="15">
      <c r="A15" s="4" t="inlineStr">
        <is>
          <t>7</t>
        </is>
      </c>
      <c r="B15" s="4" t="n">
        <v>4</v>
      </c>
      <c r="C15" s="4" t="inlineStr">
        <is>
          <t>⊏ 1000×8 ......... 1824.5</t>
        </is>
      </c>
      <c r="D15" s="4" t="inlineStr">
        <is>
          <t>S275J2</t>
        </is>
      </c>
      <c r="E15" s="4" t="n">
        <v>90.7</v>
      </c>
      <c r="F15" s="4" t="n">
        <v>362.8</v>
      </c>
      <c r="G15" s="4" t="n">
        <v>8</v>
      </c>
      <c r="H15" s="4" t="inlineStr">
        <is>
          <t>Kesim + Konik Bükme</t>
        </is>
      </c>
    </row>
    <row r="16">
      <c r="A16" s="6" t="inlineStr">
        <is>
          <t>8</t>
        </is>
      </c>
      <c r="B16" s="6" t="n">
        <v>4</v>
      </c>
      <c r="C16" s="6" t="inlineStr">
        <is>
          <t>⊏ 1056.5×8 ...... 874.5</t>
        </is>
      </c>
      <c r="D16" s="6" t="inlineStr">
        <is>
          <t>S275J2</t>
        </is>
      </c>
      <c r="E16" s="6" t="n">
        <v>31</v>
      </c>
      <c r="F16" s="6" t="n">
        <v>124</v>
      </c>
      <c r="G16" s="6" t="n">
        <v>8</v>
      </c>
      <c r="H16" s="6" t="inlineStr">
        <is>
          <t>Kesim + Konik Bükme</t>
        </is>
      </c>
    </row>
    <row r="17">
      <c r="A17" s="4" t="inlineStr">
        <is>
          <t>9</t>
        </is>
      </c>
      <c r="B17" s="4" t="n">
        <v>2</v>
      </c>
      <c r="C17" s="4" t="inlineStr">
        <is>
          <t>⊏ 1500×8 ......... 2910.5</t>
        </is>
      </c>
      <c r="D17" s="4" t="inlineStr">
        <is>
          <t>S275J2</t>
        </is>
      </c>
      <c r="E17" s="4" t="n">
        <v>272.8</v>
      </c>
      <c r="F17" s="4" t="n">
        <v>545.6</v>
      </c>
      <c r="G17" s="4" t="n">
        <v>8</v>
      </c>
      <c r="H17" s="4" t="inlineStr">
        <is>
          <t>Kesim + Konik Bükme</t>
        </is>
      </c>
    </row>
    <row r="18">
      <c r="A18" s="8" t="inlineStr">
        <is>
          <t>TOPLAM AĞIRLIK:</t>
        </is>
      </c>
      <c r="F18" s="9" t="n">
        <v>8147</v>
      </c>
      <c r="G18" s="9" t="inlineStr"/>
      <c r="H18" s="9" t="inlineStr"/>
    </row>
  </sheetData>
  <mergeCells count="2">
    <mergeCell ref="A18:E1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2" customWidth="1" min="3" max="3"/>
    <col width="20" customWidth="1" min="4" max="4"/>
    <col width="14" customWidth="1" min="5" max="5"/>
    <col width="14" customWidth="1" min="6" max="6"/>
    <col width="20" customWidth="1" min="7" max="7"/>
    <col width="14" customWidth="1" min="8" max="8"/>
  </cols>
  <sheetData>
    <row r="1" ht="24" customHeight="1">
      <c r="A1" s="1" t="inlineStr">
        <is>
          <t>NOZUL DETAY MALZEME LİSTELERİ</t>
        </is>
      </c>
    </row>
    <row r="2" ht="18" customHeight="1">
      <c r="A2" s="7" t="inlineStr">
        <is>
          <t>(12") N1 = PETROL GİRİŞ NOZULU   |   İmalat: 1   |   1 adet</t>
        </is>
      </c>
    </row>
    <row r="3" ht="30" customHeight="1">
      <c r="A3" s="2" t="inlineStr">
        <is>
          <t>POZ</t>
        </is>
      </c>
      <c r="B3" s="2" t="inlineStr">
        <is>
          <t>ADET</t>
        </is>
      </c>
      <c r="C3" s="2" t="inlineStr">
        <is>
          <t>AÇIKLAMA</t>
        </is>
      </c>
      <c r="D3" s="2" t="inlineStr">
        <is>
          <t>MALZEME</t>
        </is>
      </c>
      <c r="E3" s="2" t="inlineStr">
        <is>
          <t>BİRİM
AĞIRLIK(kg)</t>
        </is>
      </c>
      <c r="F3" s="2" t="inlineStr">
        <is>
          <t>TOPLAM
AĞIRLIK(kg)</t>
        </is>
      </c>
      <c r="G3" s="2" t="inlineStr">
        <is>
          <t>OP. TÜRÜ</t>
        </is>
      </c>
      <c r="H3" s="2" t="inlineStr">
        <is>
          <t>NOT</t>
        </is>
      </c>
    </row>
    <row r="4">
      <c r="A4" s="4" t="n">
        <v>1</v>
      </c>
      <c r="B4" s="4" t="n">
        <v>1</v>
      </c>
      <c r="C4" s="4" t="inlineStr">
        <is>
          <t>12" SCH XS BORU ..... 223</t>
        </is>
      </c>
      <c r="D4" s="4" t="inlineStr">
        <is>
          <t>ASTM A 106 Gr.B</t>
        </is>
      </c>
      <c r="E4" s="4" t="n">
        <v>21.5</v>
      </c>
      <c r="F4" s="4" t="n">
        <v>21.5</v>
      </c>
      <c r="G4" s="4" t="inlineStr">
        <is>
          <t>Kesim+Kaynak</t>
        </is>
      </c>
      <c r="H4" s="4" t="inlineStr"/>
    </row>
    <row r="5">
      <c r="A5" s="6" t="n">
        <v>2</v>
      </c>
      <c r="B5" s="6" t="n">
        <v>1</v>
      </c>
      <c r="C5" s="6" t="inlineStr">
        <is>
          <t>12" 150# SO. RF. FLANS</t>
        </is>
      </c>
      <c r="D5" s="6" t="inlineStr">
        <is>
          <t>ASTM A 105</t>
        </is>
      </c>
      <c r="E5" s="6" t="n">
        <v>29</v>
      </c>
      <c r="F5" s="6" t="n">
        <v>29</v>
      </c>
      <c r="G5" s="6" t="inlineStr">
        <is>
          <t>Kaynak</t>
        </is>
      </c>
      <c r="H5" s="6" t="inlineStr"/>
    </row>
    <row r="6">
      <c r="A6" s="4" t="n">
        <v>3</v>
      </c>
      <c r="B6" s="4" t="n">
        <v>1</v>
      </c>
      <c r="C6" s="4" t="inlineStr">
        <is>
          <t>⊏ 8×327×685  PLAKA</t>
        </is>
      </c>
      <c r="D6" s="4" t="inlineStr">
        <is>
          <t>S275J2</t>
        </is>
      </c>
      <c r="E6" s="4" t="n">
        <v>18</v>
      </c>
      <c r="F6" s="4" t="n">
        <v>18</v>
      </c>
      <c r="G6" s="4" t="inlineStr">
        <is>
          <t>Kesim+Kaynak</t>
        </is>
      </c>
      <c r="H6" s="4" t="inlineStr"/>
    </row>
    <row r="7">
      <c r="A7" s="8" t="inlineStr">
        <is>
          <t>TOPLAM (1 adet): 68.5 Kg  |  1 → 68.5 Kg</t>
        </is>
      </c>
      <c r="F7" s="9" t="n">
        <v>68.5</v>
      </c>
      <c r="G7" s="9" t="inlineStr"/>
      <c r="H7" s="9" t="inlineStr"/>
    </row>
    <row r="9" ht="18" customHeight="1">
      <c r="A9" s="7" t="inlineStr">
        <is>
          <t>(12") N4 = PETROL ÇIKIŞ NOZULU   |   İmalat: 1   |   1 adet — BOTTOM (Taban)</t>
        </is>
      </c>
    </row>
    <row r="10" ht="30" customHeight="1">
      <c r="A10" s="2" t="inlineStr">
        <is>
          <t>POZ</t>
        </is>
      </c>
      <c r="B10" s="2" t="inlineStr">
        <is>
          <t>ADET</t>
        </is>
      </c>
      <c r="C10" s="2" t="inlineStr">
        <is>
          <t>AÇIKLAMA</t>
        </is>
      </c>
      <c r="D10" s="2" t="inlineStr">
        <is>
          <t>MALZEME</t>
        </is>
      </c>
      <c r="E10" s="2" t="inlineStr">
        <is>
          <t>BİRİM
AĞIRLIK(kg)</t>
        </is>
      </c>
      <c r="F10" s="2" t="inlineStr">
        <is>
          <t>TOPLAM
AĞIRLIK(kg)</t>
        </is>
      </c>
      <c r="G10" s="2" t="inlineStr">
        <is>
          <t>OP. TÜRÜ</t>
        </is>
      </c>
      <c r="H10" s="2" t="inlineStr">
        <is>
          <t>NOT</t>
        </is>
      </c>
    </row>
    <row r="11">
      <c r="A11" s="4" t="n">
        <v>1</v>
      </c>
      <c r="B11" s="4" t="n">
        <v>1</v>
      </c>
      <c r="C11" s="4" t="inlineStr">
        <is>
          <t>12" SCH XS BORU ..... 223</t>
        </is>
      </c>
      <c r="D11" s="4" t="inlineStr">
        <is>
          <t>ASTM A 106 Gr.B</t>
        </is>
      </c>
      <c r="E11" s="4" t="n">
        <v>21.5</v>
      </c>
      <c r="F11" s="4" t="n">
        <v>21.5</v>
      </c>
      <c r="G11" s="4" t="inlineStr">
        <is>
          <t>Kesim+Kaynak</t>
        </is>
      </c>
      <c r="H11" s="4" t="inlineStr"/>
    </row>
    <row r="12">
      <c r="A12" s="6" t="n">
        <v>2</v>
      </c>
      <c r="B12" s="6" t="n">
        <v>1</v>
      </c>
      <c r="C12" s="6" t="inlineStr">
        <is>
          <t>12" 150# SO. RF. FLANS</t>
        </is>
      </c>
      <c r="D12" s="6" t="inlineStr">
        <is>
          <t>ASTM A 105</t>
        </is>
      </c>
      <c r="E12" s="6" t="n">
        <v>29</v>
      </c>
      <c r="F12" s="6" t="n">
        <v>29</v>
      </c>
      <c r="G12" s="6" t="inlineStr">
        <is>
          <t>Kaynak</t>
        </is>
      </c>
      <c r="H12" s="6" t="inlineStr"/>
    </row>
    <row r="13">
      <c r="A13" s="4" t="n">
        <v>3</v>
      </c>
      <c r="B13" s="4" t="n">
        <v>1</v>
      </c>
      <c r="C13" s="4" t="inlineStr">
        <is>
          <t>⊏ 6×327×685  PLAKA</t>
        </is>
      </c>
      <c r="D13" s="4" t="inlineStr">
        <is>
          <t>S275J2</t>
        </is>
      </c>
      <c r="E13" s="4" t="n">
        <v>14</v>
      </c>
      <c r="F13" s="4" t="n">
        <v>14</v>
      </c>
      <c r="G13" s="4" t="inlineStr">
        <is>
          <t>Kesim+Kaynak</t>
        </is>
      </c>
      <c r="H13" s="4" t="inlineStr"/>
    </row>
    <row r="14">
      <c r="A14" s="8" t="inlineStr">
        <is>
          <t>TOPLAM (1 adet): 64.5 Kg  |  1 → 64.5 Kg</t>
        </is>
      </c>
      <c r="F14" s="9" t="n">
        <v>64.5</v>
      </c>
      <c r="G14" s="9" t="inlineStr"/>
      <c r="H14" s="9" t="inlineStr"/>
    </row>
    <row r="16" ht="18" customHeight="1">
      <c r="A16" s="7" t="inlineStr">
        <is>
          <t>(8") N8 = KÖPÜK YAPICI NOZULU   |   İmalat: 1   |   1 adet</t>
        </is>
      </c>
    </row>
    <row r="17" ht="30" customHeight="1">
      <c r="A17" s="2" t="inlineStr">
        <is>
          <t>POZ</t>
        </is>
      </c>
      <c r="B17" s="2" t="inlineStr">
        <is>
          <t>ADET</t>
        </is>
      </c>
      <c r="C17" s="2" t="inlineStr">
        <is>
          <t>AÇIKLAMA</t>
        </is>
      </c>
      <c r="D17" s="2" t="inlineStr">
        <is>
          <t>MALZEME</t>
        </is>
      </c>
      <c r="E17" s="2" t="inlineStr">
        <is>
          <t>BİRİM
AĞIRLIK(kg)</t>
        </is>
      </c>
      <c r="F17" s="2" t="inlineStr">
        <is>
          <t>TOPLAM
AĞIRLIK(kg)</t>
        </is>
      </c>
      <c r="G17" s="2" t="inlineStr">
        <is>
          <t>OP. TÜRÜ</t>
        </is>
      </c>
      <c r="H17" s="2" t="inlineStr">
        <is>
          <t>NOT</t>
        </is>
      </c>
    </row>
    <row r="18">
      <c r="A18" s="4" t="n">
        <v>1</v>
      </c>
      <c r="B18" s="4" t="n">
        <v>1</v>
      </c>
      <c r="C18" s="4" t="inlineStr">
        <is>
          <t>8" SCH XS BORU ..... 221</t>
        </is>
      </c>
      <c r="D18" s="4" t="inlineStr">
        <is>
          <t>ASTM A 106 Gr.B</t>
        </is>
      </c>
      <c r="E18" s="4" t="n">
        <v>11.4</v>
      </c>
      <c r="F18" s="4" t="n">
        <v>11.4</v>
      </c>
      <c r="G18" s="4" t="inlineStr">
        <is>
          <t>Kesim+Kaynak</t>
        </is>
      </c>
      <c r="H18" s="4" t="inlineStr"/>
    </row>
    <row r="19">
      <c r="A19" s="6" t="n">
        <v>2</v>
      </c>
      <c r="B19" s="6" t="n">
        <v>1</v>
      </c>
      <c r="C19" s="6" t="inlineStr">
        <is>
          <t>8" 150# SO. RF. FLANS</t>
        </is>
      </c>
      <c r="D19" s="6" t="inlineStr">
        <is>
          <t>ASTM A 105</t>
        </is>
      </c>
      <c r="E19" s="6" t="n">
        <v>13.5</v>
      </c>
      <c r="F19" s="6" t="n">
        <v>13.5</v>
      </c>
      <c r="G19" s="6" t="inlineStr">
        <is>
          <t>Kaynak</t>
        </is>
      </c>
      <c r="H19" s="6" t="inlineStr"/>
    </row>
    <row r="20">
      <c r="A20" s="4" t="n">
        <v>3</v>
      </c>
      <c r="B20" s="4" t="n">
        <v>1</v>
      </c>
      <c r="C20" s="4" t="inlineStr">
        <is>
          <t>⊏ 6×485×222  PLAKA</t>
        </is>
      </c>
      <c r="D20" s="4" t="inlineStr">
        <is>
          <t>S275J2</t>
        </is>
      </c>
      <c r="E20" s="4" t="n">
        <v>7</v>
      </c>
      <c r="F20" s="4" t="n">
        <v>7</v>
      </c>
      <c r="G20" s="4" t="inlineStr">
        <is>
          <t>Kesim+Kaynak</t>
        </is>
      </c>
      <c r="H20" s="4" t="inlineStr"/>
    </row>
    <row r="21">
      <c r="A21" s="8" t="inlineStr">
        <is>
          <t>TOPLAM (1 adet): 31.9 Kg  |  1 → 31.9 Kg</t>
        </is>
      </c>
      <c r="F21" s="9" t="n">
        <v>31.9</v>
      </c>
      <c r="G21" s="9" t="inlineStr"/>
      <c r="H21" s="9" t="inlineStr"/>
    </row>
    <row r="23" ht="18" customHeight="1">
      <c r="A23" s="7" t="inlineStr">
        <is>
          <t>(6") N7A/B = DRAIN NOZULU   |   İmalat: 2   |   2 adet imal edilecektir</t>
        </is>
      </c>
    </row>
    <row r="24" ht="30" customHeight="1">
      <c r="A24" s="2" t="inlineStr">
        <is>
          <t>POZ</t>
        </is>
      </c>
      <c r="B24" s="2" t="inlineStr">
        <is>
          <t>ADET</t>
        </is>
      </c>
      <c r="C24" s="2" t="inlineStr">
        <is>
          <t>AÇIKLAMA</t>
        </is>
      </c>
      <c r="D24" s="2" t="inlineStr">
        <is>
          <t>MALZEME</t>
        </is>
      </c>
      <c r="E24" s="2" t="inlineStr">
        <is>
          <t>BİRİM
AĞIRLIK(kg)</t>
        </is>
      </c>
      <c r="F24" s="2" t="inlineStr">
        <is>
          <t>TOPLAM
AĞIRLIK(kg)</t>
        </is>
      </c>
      <c r="G24" s="2" t="inlineStr">
        <is>
          <t>OP. TÜRÜ</t>
        </is>
      </c>
      <c r="H24" s="2" t="inlineStr">
        <is>
          <t>NOT</t>
        </is>
      </c>
    </row>
    <row r="25">
      <c r="A25" s="4" t="n">
        <v>1</v>
      </c>
      <c r="B25" s="4" t="n">
        <v>1</v>
      </c>
      <c r="C25" s="4" t="inlineStr">
        <is>
          <t>6" 150# SO. RF. FLANS</t>
        </is>
      </c>
      <c r="D25" s="4" t="inlineStr">
        <is>
          <t>ASTM A 105</t>
        </is>
      </c>
      <c r="E25" s="4" t="n">
        <v>5.9</v>
      </c>
      <c r="F25" s="4" t="n">
        <v>5.9</v>
      </c>
      <c r="G25" s="4" t="inlineStr">
        <is>
          <t>Kaynak</t>
        </is>
      </c>
      <c r="H25" s="4" t="inlineStr"/>
    </row>
    <row r="26">
      <c r="A26" s="6" t="n">
        <v>2</v>
      </c>
      <c r="B26" s="6" t="n">
        <v>1</v>
      </c>
      <c r="C26" s="6" t="inlineStr">
        <is>
          <t>6" SCH XS BORU ..... 360</t>
        </is>
      </c>
      <c r="D26" s="6" t="inlineStr">
        <is>
          <t>ASTM A 106 Gr.B</t>
        </is>
      </c>
      <c r="E26" s="6" t="n">
        <v>9.6</v>
      </c>
      <c r="F26" s="6" t="n">
        <v>9.6</v>
      </c>
      <c r="G26" s="6" t="inlineStr">
        <is>
          <t>Kesim+Kaynak</t>
        </is>
      </c>
      <c r="H26" s="6" t="inlineStr"/>
    </row>
    <row r="27">
      <c r="A27" s="4" t="n">
        <v>3</v>
      </c>
      <c r="B27" s="4" t="n">
        <v>1</v>
      </c>
      <c r="C27" s="4" t="inlineStr">
        <is>
          <t>6" SCH XS BORU ..... 870</t>
        </is>
      </c>
      <c r="D27" s="4" t="inlineStr">
        <is>
          <t>ASTM A 106 Gr.B</t>
        </is>
      </c>
      <c r="E27" s="4" t="n">
        <v>23.2</v>
      </c>
      <c r="F27" s="4" t="n">
        <v>23.2</v>
      </c>
      <c r="G27" s="4" t="inlineStr">
        <is>
          <t>Kesim+Kaynak</t>
        </is>
      </c>
      <c r="H27" s="4" t="inlineStr"/>
    </row>
    <row r="28">
      <c r="A28" s="6" t="n">
        <v>4</v>
      </c>
      <c r="B28" s="6" t="n">
        <v>1</v>
      </c>
      <c r="C28" s="6" t="inlineStr">
        <is>
          <t>6" SCH XS DİRSEK 90° LR BW.</t>
        </is>
      </c>
      <c r="D28" s="6" t="inlineStr">
        <is>
          <t>ASTM A 234WPB</t>
        </is>
      </c>
      <c r="E28" s="6" t="n">
        <v>5.4</v>
      </c>
      <c r="F28" s="6" t="n">
        <v>5.4</v>
      </c>
      <c r="G28" s="6" t="inlineStr">
        <is>
          <t>Kaynak</t>
        </is>
      </c>
      <c r="H28" s="6" t="inlineStr"/>
    </row>
    <row r="29">
      <c r="A29" s="4" t="n">
        <v>5</v>
      </c>
      <c r="B29" s="4" t="n">
        <v>1</v>
      </c>
      <c r="C29" s="4" t="inlineStr">
        <is>
          <t>6" SCH XS BORU ..... 540</t>
        </is>
      </c>
      <c r="D29" s="4" t="inlineStr">
        <is>
          <t>ASTM A 106 Gr.B</t>
        </is>
      </c>
      <c r="E29" s="4" t="n">
        <v>14.4</v>
      </c>
      <c r="F29" s="4" t="n">
        <v>14.4</v>
      </c>
      <c r="G29" s="4" t="inlineStr">
        <is>
          <t>Kesim+Kaynak</t>
        </is>
      </c>
      <c r="H29" s="4" t="inlineStr"/>
    </row>
    <row r="30">
      <c r="A30" s="6" t="n">
        <v>6</v>
      </c>
      <c r="B30" s="6" t="n">
        <v>1</v>
      </c>
      <c r="C30" s="6" t="inlineStr">
        <is>
          <t>⊏ 50×10 ............ 150</t>
        </is>
      </c>
      <c r="D30" s="6" t="inlineStr">
        <is>
          <t>S275J2</t>
        </is>
      </c>
      <c r="E30" s="6" t="n">
        <v>0.6</v>
      </c>
      <c r="F30" s="6" t="n">
        <v>0.6</v>
      </c>
      <c r="G30" s="6" t="inlineStr">
        <is>
          <t>Kesim+Kaynak</t>
        </is>
      </c>
      <c r="H30" s="6" t="inlineStr"/>
    </row>
    <row r="31">
      <c r="A31" s="4" t="n">
        <v>7</v>
      </c>
      <c r="B31" s="4" t="n">
        <v>4</v>
      </c>
      <c r="C31" s="4" t="inlineStr">
        <is>
          <t>M12 SOMUN</t>
        </is>
      </c>
      <c r="D31" s="4" t="inlineStr">
        <is>
          <t>A 194 Gr.2H</t>
        </is>
      </c>
      <c r="E31" s="4" t="inlineStr">
        <is>
          <t>–</t>
        </is>
      </c>
      <c r="F31" s="4" t="inlineStr">
        <is>
          <t>–</t>
        </is>
      </c>
      <c r="G31" s="4" t="inlineStr">
        <is>
          <t>Montaj</t>
        </is>
      </c>
      <c r="H31" s="4" t="inlineStr"/>
    </row>
    <row r="32">
      <c r="A32" s="6" t="n">
        <v>8</v>
      </c>
      <c r="B32" s="6" t="n">
        <v>1</v>
      </c>
      <c r="C32" s="6" t="inlineStr">
        <is>
          <t>M12×594  U CİVATA</t>
        </is>
      </c>
      <c r="D32" s="6" t="inlineStr">
        <is>
          <t>A 193 Gr.B7</t>
        </is>
      </c>
      <c r="E32" s="6" t="inlineStr">
        <is>
          <t>–</t>
        </is>
      </c>
      <c r="F32" s="6" t="inlineStr">
        <is>
          <t>–</t>
        </is>
      </c>
      <c r="G32" s="6" t="inlineStr">
        <is>
          <t>Montaj</t>
        </is>
      </c>
      <c r="H32" s="6" t="inlineStr"/>
    </row>
    <row r="33">
      <c r="A33" s="4" t="n">
        <v>9</v>
      </c>
      <c r="B33" s="4" t="n">
        <v>1</v>
      </c>
      <c r="C33" s="4" t="inlineStr">
        <is>
          <t>L 60×60×6 ..... 140</t>
        </is>
      </c>
      <c r="D33" s="4" t="inlineStr">
        <is>
          <t>S235JR</t>
        </is>
      </c>
      <c r="E33" s="4" t="n">
        <v>0.76</v>
      </c>
      <c r="F33" s="4" t="n">
        <v>0.76</v>
      </c>
      <c r="G33" s="4" t="inlineStr">
        <is>
          <t>Montaj</t>
        </is>
      </c>
      <c r="H33" s="4" t="inlineStr"/>
    </row>
    <row r="34">
      <c r="A34" s="6" t="n">
        <v>10</v>
      </c>
      <c r="B34" s="6" t="n">
        <v>1</v>
      </c>
      <c r="C34" s="6" t="inlineStr">
        <is>
          <t>L 60×60×6 ..... 280</t>
        </is>
      </c>
      <c r="D34" s="6" t="inlineStr">
        <is>
          <t>S235JR</t>
        </is>
      </c>
      <c r="E34" s="6" t="n">
        <v>1.52</v>
      </c>
      <c r="F34" s="6" t="n">
        <v>1.52</v>
      </c>
      <c r="G34" s="6" t="inlineStr">
        <is>
          <t>Montaj</t>
        </is>
      </c>
      <c r="H34" s="6" t="inlineStr"/>
    </row>
    <row r="35">
      <c r="A35" s="4" t="n">
        <v>11</v>
      </c>
      <c r="B35" s="4" t="n">
        <v>1</v>
      </c>
      <c r="C35" s="4" t="inlineStr">
        <is>
          <t>⊏ 90×10 ............ 90</t>
        </is>
      </c>
      <c r="D35" s="4" t="inlineStr">
        <is>
          <t>S275J2</t>
        </is>
      </c>
      <c r="E35" s="4" t="n">
        <v>0.65</v>
      </c>
      <c r="F35" s="4" t="n">
        <v>0.65</v>
      </c>
      <c r="G35" s="4" t="inlineStr">
        <is>
          <t>Kesim+Kaynak</t>
        </is>
      </c>
      <c r="H35" s="4" t="inlineStr"/>
    </row>
    <row r="36">
      <c r="A36" s="8" t="inlineStr">
        <is>
          <t>TOPLAM (1 adet): 62.0 Kg  |  2 → 124.0 Kg</t>
        </is>
      </c>
      <c r="F36" s="9" t="n">
        <v>124</v>
      </c>
      <c r="G36" s="9" t="inlineStr"/>
      <c r="H36" s="9" t="inlineStr"/>
    </row>
    <row r="38" ht="18" customHeight="1">
      <c r="A38" s="7" t="inlineStr">
        <is>
          <t>(1.5") N9 = SICAKLIK ÖLÇÜMÜ (TI)   |   İmalat: 1   |   1 adet</t>
        </is>
      </c>
    </row>
    <row r="39" ht="30" customHeight="1">
      <c r="A39" s="2" t="inlineStr">
        <is>
          <t>POZ</t>
        </is>
      </c>
      <c r="B39" s="2" t="inlineStr">
        <is>
          <t>ADET</t>
        </is>
      </c>
      <c r="C39" s="2" t="inlineStr">
        <is>
          <t>AÇIKLAMA</t>
        </is>
      </c>
      <c r="D39" s="2" t="inlineStr">
        <is>
          <t>MALZEME</t>
        </is>
      </c>
      <c r="E39" s="2" t="inlineStr">
        <is>
          <t>BİRİM
AĞIRLIK(kg)</t>
        </is>
      </c>
      <c r="F39" s="2" t="inlineStr">
        <is>
          <t>TOPLAM
AĞIRLIK(kg)</t>
        </is>
      </c>
      <c r="G39" s="2" t="inlineStr">
        <is>
          <t>OP. TÜRÜ</t>
        </is>
      </c>
      <c r="H39" s="2" t="inlineStr">
        <is>
          <t>NOT</t>
        </is>
      </c>
    </row>
    <row r="40">
      <c r="A40" s="4" t="n">
        <v>1</v>
      </c>
      <c r="B40" s="4" t="n">
        <v>1</v>
      </c>
      <c r="C40" s="4" t="inlineStr">
        <is>
          <t>1½" SCH XS BORU ..... 165</t>
        </is>
      </c>
      <c r="D40" s="4" t="inlineStr">
        <is>
          <t>ASTM A 106 Gr.B</t>
        </is>
      </c>
      <c r="E40" s="4" t="n">
        <v>0.7</v>
      </c>
      <c r="F40" s="4" t="n">
        <v>0.7</v>
      </c>
      <c r="G40" s="4" t="inlineStr">
        <is>
          <t>Kesim+Kaynak</t>
        </is>
      </c>
      <c r="H40" s="4" t="inlineStr"/>
    </row>
    <row r="41">
      <c r="A41" s="6" t="n">
        <v>2</v>
      </c>
      <c r="B41" s="6" t="n">
        <v>1</v>
      </c>
      <c r="C41" s="6" t="inlineStr">
        <is>
          <t>1½" 150# SO. RF. FLANS</t>
        </is>
      </c>
      <c r="D41" s="6" t="inlineStr">
        <is>
          <t>ASTM A 105</t>
        </is>
      </c>
      <c r="E41" s="6" t="n">
        <v>1.95</v>
      </c>
      <c r="F41" s="6" t="n">
        <v>1.95</v>
      </c>
      <c r="G41" s="6" t="inlineStr">
        <is>
          <t>Kaynak</t>
        </is>
      </c>
      <c r="H41" s="6" t="inlineStr"/>
    </row>
    <row r="42">
      <c r="A42" s="8" t="inlineStr">
        <is>
          <t>TOPLAM (1 adet): 2.65 Kg  |  1 → 2.6 Kg</t>
        </is>
      </c>
      <c r="F42" s="9" t="n">
        <v>2.6</v>
      </c>
      <c r="G42" s="9" t="inlineStr"/>
      <c r="H42" s="9" t="inlineStr"/>
    </row>
    <row r="44" ht="18" customHeight="1">
      <c r="A44" s="7" t="inlineStr">
        <is>
          <t>(1") N18 = YÜKSEK SEVİYE SENSÖRÜ   |   İmalat: 1   |   1 adet</t>
        </is>
      </c>
    </row>
    <row r="45" ht="30" customHeight="1">
      <c r="A45" s="2" t="inlineStr">
        <is>
          <t>POZ</t>
        </is>
      </c>
      <c r="B45" s="2" t="inlineStr">
        <is>
          <t>ADET</t>
        </is>
      </c>
      <c r="C45" s="2" t="inlineStr">
        <is>
          <t>AÇIKLAMA</t>
        </is>
      </c>
      <c r="D45" s="2" t="inlineStr">
        <is>
          <t>MALZEME</t>
        </is>
      </c>
      <c r="E45" s="2" t="inlineStr">
        <is>
          <t>BİRİM
AĞIRLIK(kg)</t>
        </is>
      </c>
      <c r="F45" s="2" t="inlineStr">
        <is>
          <t>TOPLAM
AĞIRLIK(kg)</t>
        </is>
      </c>
      <c r="G45" s="2" t="inlineStr">
        <is>
          <t>OP. TÜRÜ</t>
        </is>
      </c>
      <c r="H45" s="2" t="inlineStr">
        <is>
          <t>NOT</t>
        </is>
      </c>
    </row>
    <row r="46">
      <c r="A46" s="4" t="n">
        <v>1</v>
      </c>
      <c r="B46" s="4" t="n">
        <v>1</v>
      </c>
      <c r="C46" s="4" t="inlineStr">
        <is>
          <t>1" SCH XS BORU ..... 165</t>
        </is>
      </c>
      <c r="D46" s="4" t="inlineStr">
        <is>
          <t>ASTM A 106 Gr.B</t>
        </is>
      </c>
      <c r="E46" s="4" t="n">
        <v>0.7</v>
      </c>
      <c r="F46" s="4" t="n">
        <v>0.7</v>
      </c>
      <c r="G46" s="4" t="inlineStr">
        <is>
          <t>Kesim+Kaynak</t>
        </is>
      </c>
      <c r="H46" s="4" t="inlineStr"/>
    </row>
    <row r="47">
      <c r="A47" s="6" t="n">
        <v>2</v>
      </c>
      <c r="B47" s="6" t="n">
        <v>1</v>
      </c>
      <c r="C47" s="6" t="inlineStr">
        <is>
          <t>1" 150# SO. RF. FLANS</t>
        </is>
      </c>
      <c r="D47" s="6" t="inlineStr">
        <is>
          <t>ASTM A 105</t>
        </is>
      </c>
      <c r="E47" s="6" t="n">
        <v>1</v>
      </c>
      <c r="F47" s="6" t="n">
        <v>1</v>
      </c>
      <c r="G47" s="6" t="inlineStr">
        <is>
          <t>Kaynak</t>
        </is>
      </c>
      <c r="H47" s="6" t="inlineStr"/>
    </row>
    <row r="48">
      <c r="A48" s="8" t="inlineStr">
        <is>
          <t>TOPLAM (1 adet): 1.7 Kg  |  1 → 1.7 Kg</t>
        </is>
      </c>
      <c r="F48" s="9" t="n">
        <v>1.7</v>
      </c>
      <c r="G48" s="9" t="inlineStr"/>
      <c r="H48" s="9" t="inlineStr"/>
    </row>
    <row r="50" ht="18" customHeight="1">
      <c r="A50" s="7" t="inlineStr">
        <is>
          <t>(12") N21 = HAVA NOZULU   |   İmalat: 4   |   4 adet imal edilecektir — ROOF</t>
        </is>
      </c>
    </row>
    <row r="51" ht="30" customHeight="1">
      <c r="A51" s="2" t="inlineStr">
        <is>
          <t>POZ</t>
        </is>
      </c>
      <c r="B51" s="2" t="inlineStr">
        <is>
          <t>ADET</t>
        </is>
      </c>
      <c r="C51" s="2" t="inlineStr">
        <is>
          <t>AÇIKLAMA</t>
        </is>
      </c>
      <c r="D51" s="2" t="inlineStr">
        <is>
          <t>MALZEME</t>
        </is>
      </c>
      <c r="E51" s="2" t="inlineStr">
        <is>
          <t>BİRİM
AĞIRLIK(kg)</t>
        </is>
      </c>
      <c r="F51" s="2" t="inlineStr">
        <is>
          <t>TOPLAM
AĞIRLIK(kg)</t>
        </is>
      </c>
      <c r="G51" s="2" t="inlineStr">
        <is>
          <t>OP. TÜRÜ</t>
        </is>
      </c>
      <c r="H51" s="2" t="inlineStr">
        <is>
          <t>NOT</t>
        </is>
      </c>
    </row>
    <row r="52">
      <c r="A52" s="4" t="n">
        <v>1</v>
      </c>
      <c r="B52" s="4" t="n">
        <v>1</v>
      </c>
      <c r="C52" s="4" t="inlineStr">
        <is>
          <t>12" SCH XS BORU ..... 290</t>
        </is>
      </c>
      <c r="D52" s="4" t="inlineStr">
        <is>
          <t>ASTM A 106 Gr.B</t>
        </is>
      </c>
      <c r="E52" s="4" t="n">
        <v>28</v>
      </c>
      <c r="F52" s="4" t="n">
        <v>28</v>
      </c>
      <c r="G52" s="4" t="inlineStr">
        <is>
          <t>Kesim+Kaynak</t>
        </is>
      </c>
      <c r="H52" s="4" t="inlineStr"/>
    </row>
    <row r="53">
      <c r="A53" s="6" t="n">
        <v>2</v>
      </c>
      <c r="B53" s="6" t="n">
        <v>1</v>
      </c>
      <c r="C53" s="6" t="inlineStr">
        <is>
          <t>12"-90° Elbow LR BW ASME B16.5 SCH40</t>
        </is>
      </c>
      <c r="D53" s="6" t="inlineStr">
        <is>
          <t>ASTM A 234 Gr.WPB</t>
        </is>
      </c>
      <c r="E53" s="6" t="n">
        <v>15.1</v>
      </c>
      <c r="F53" s="6" t="n">
        <v>15.1</v>
      </c>
      <c r="G53" s="6" t="inlineStr">
        <is>
          <t>Kaynak</t>
        </is>
      </c>
      <c r="H53" s="6" t="inlineStr"/>
    </row>
    <row r="54">
      <c r="A54" s="4" t="n">
        <v>3</v>
      </c>
      <c r="B54" s="4" t="n">
        <v>1</v>
      </c>
      <c r="C54" s="4" t="inlineStr">
        <is>
          <t>⊏ 8×327×685  PLAKA</t>
        </is>
      </c>
      <c r="D54" s="4" t="inlineStr">
        <is>
          <t>S275J2</t>
        </is>
      </c>
      <c r="E54" s="4" t="n">
        <v>18</v>
      </c>
      <c r="F54" s="4" t="n">
        <v>18</v>
      </c>
      <c r="G54" s="4" t="inlineStr">
        <is>
          <t>Kesim+Kaynak</t>
        </is>
      </c>
      <c r="H54" s="4" t="inlineStr"/>
    </row>
    <row r="55">
      <c r="A55" s="8" t="inlineStr">
        <is>
          <t>TOPLAM (1 adet): 61.1 Kg  |  4 → 244.4 Kg</t>
        </is>
      </c>
      <c r="F55" s="9" t="n">
        <v>244.4</v>
      </c>
      <c r="G55" s="9" t="inlineStr"/>
      <c r="H55" s="9" t="inlineStr"/>
    </row>
  </sheetData>
  <mergeCells count="15">
    <mergeCell ref="A9:H9"/>
    <mergeCell ref="A1:H1"/>
    <mergeCell ref="A21:E21"/>
    <mergeCell ref="A50:H50"/>
    <mergeCell ref="A55:E55"/>
    <mergeCell ref="A48:E48"/>
    <mergeCell ref="A7:E7"/>
    <mergeCell ref="A2:H2"/>
    <mergeCell ref="A16:H16"/>
    <mergeCell ref="A38:H38"/>
    <mergeCell ref="A42:E42"/>
    <mergeCell ref="A44:H44"/>
    <mergeCell ref="A36:E36"/>
    <mergeCell ref="A14:E14"/>
    <mergeCell ref="A23:H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4" customWidth="1" min="3" max="3"/>
    <col width="20" customWidth="1" min="4" max="4"/>
    <col width="14" customWidth="1" min="5" max="5"/>
    <col width="14" customWidth="1" min="6" max="6"/>
    <col width="22" customWidth="1" min="7" max="7"/>
  </cols>
  <sheetData>
    <row r="1" ht="24" customHeight="1">
      <c r="A1" s="1" t="inlineStr">
        <is>
          <t>MANHOL VE TEMİZLEME NOZULU MALZEME LİSTELERİ</t>
        </is>
      </c>
    </row>
    <row r="2" ht="18" customHeight="1">
      <c r="A2" s="7" t="inlineStr">
        <is>
          <t>24" GÖVDE MANHOLU (M1)  —  1 Adet</t>
        </is>
      </c>
    </row>
    <row r="3" ht="30" customHeight="1">
      <c r="A3" s="2" t="inlineStr">
        <is>
          <t>POZ</t>
        </is>
      </c>
      <c r="B3" s="2" t="inlineStr">
        <is>
          <t>ADET</t>
        </is>
      </c>
      <c r="C3" s="2" t="inlineStr">
        <is>
          <t>AÇIKLAMA</t>
        </is>
      </c>
      <c r="D3" s="2" t="inlineStr">
        <is>
          <t>MALZEME</t>
        </is>
      </c>
      <c r="E3" s="2" t="inlineStr">
        <is>
          <t>BİRİM
AĞIRLIK(kg)</t>
        </is>
      </c>
      <c r="F3" s="2" t="inlineStr">
        <is>
          <t>TOPLAM
AĞIRLIK(kg)</t>
        </is>
      </c>
      <c r="G3" s="2" t="inlineStr">
        <is>
          <t>İŞLEM TÜRÜ</t>
        </is>
      </c>
    </row>
    <row r="4">
      <c r="A4" s="4" t="n">
        <v>1</v>
      </c>
      <c r="B4" s="4" t="n">
        <v>1</v>
      </c>
      <c r="C4" s="4" t="inlineStr">
        <is>
          <t>⊂ ø176×8 .........1885</t>
        </is>
      </c>
      <c r="D4" s="4" t="inlineStr">
        <is>
          <t>S275J2</t>
        </is>
      </c>
      <c r="E4" s="4" t="n">
        <v>20.8</v>
      </c>
      <c r="F4" s="4" t="n">
        <v>20.8</v>
      </c>
      <c r="G4" s="4" t="inlineStr">
        <is>
          <t>Silindirik Bükme+Kaynak</t>
        </is>
      </c>
    </row>
    <row r="5">
      <c r="A5" s="6" t="n">
        <v>2</v>
      </c>
      <c r="B5" s="6" t="n">
        <v>1</v>
      </c>
      <c r="C5" s="6" t="inlineStr">
        <is>
          <t>⊏ ø820\ø616×10  HALKA</t>
        </is>
      </c>
      <c r="D5" s="6" t="inlineStr">
        <is>
          <t>S275J2</t>
        </is>
      </c>
      <c r="E5" s="6" t="n">
        <v>18</v>
      </c>
      <c r="F5" s="6" t="n">
        <v>18</v>
      </c>
      <c r="G5" s="6" t="inlineStr">
        <is>
          <t>Kesim+Kaynak</t>
        </is>
      </c>
    </row>
    <row r="6">
      <c r="A6" s="4" t="n">
        <v>3</v>
      </c>
      <c r="B6" s="4" t="n">
        <v>1</v>
      </c>
      <c r="C6" s="4" t="inlineStr">
        <is>
          <t>ø820×12  DAİRE PLAKA</t>
        </is>
      </c>
      <c r="D6" s="4" t="inlineStr">
        <is>
          <t>S275J2</t>
        </is>
      </c>
      <c r="E6" s="4" t="n">
        <v>49.8</v>
      </c>
      <c r="F6" s="4" t="n">
        <v>49.8</v>
      </c>
      <c r="G6" s="4" t="inlineStr">
        <is>
          <t>Kesim</t>
        </is>
      </c>
    </row>
    <row r="7">
      <c r="A7" s="6" t="n">
        <v>4</v>
      </c>
      <c r="B7" s="6" t="n">
        <v>1</v>
      </c>
      <c r="C7" s="6" t="inlineStr">
        <is>
          <t>⊏ 1255×8 .........1525</t>
        </is>
      </c>
      <c r="D7" s="6" t="inlineStr">
        <is>
          <t>S275J2</t>
        </is>
      </c>
      <c r="E7" s="6" t="n">
        <v>69.5</v>
      </c>
      <c r="F7" s="6" t="n">
        <v>69.5</v>
      </c>
      <c r="G7" s="6" t="inlineStr">
        <is>
          <t>Silindirik Bükme+Kaynak</t>
        </is>
      </c>
    </row>
    <row r="8">
      <c r="A8" s="4" t="n">
        <v>5</v>
      </c>
      <c r="B8" s="4" t="n">
        <v>1</v>
      </c>
      <c r="C8" s="4" t="inlineStr">
        <is>
          <t>ø735×ø610×3  GASKET</t>
        </is>
      </c>
      <c r="D8" s="4" t="inlineStr">
        <is>
          <t>KLİNGERİT</t>
        </is>
      </c>
      <c r="E8" s="4" t="inlineStr">
        <is>
          <t>–</t>
        </is>
      </c>
      <c r="F8" s="4" t="inlineStr">
        <is>
          <t>–</t>
        </is>
      </c>
      <c r="G8" s="4" t="inlineStr">
        <is>
          <t>Montaj</t>
        </is>
      </c>
    </row>
    <row r="9">
      <c r="A9" s="6" t="n">
        <v>6</v>
      </c>
      <c r="B9" s="6" t="n">
        <v>2</v>
      </c>
      <c r="C9" s="6" t="inlineStr">
        <is>
          <t>ø16×318  YUVARLAK BORU</t>
        </is>
      </c>
      <c r="D9" s="6" t="inlineStr">
        <is>
          <t>S235JR</t>
        </is>
      </c>
      <c r="E9" s="6" t="n">
        <v>1</v>
      </c>
      <c r="F9" s="6" t="n">
        <v>2</v>
      </c>
      <c r="G9" s="6" t="inlineStr">
        <is>
          <t>Kesim</t>
        </is>
      </c>
    </row>
    <row r="10">
      <c r="A10" s="4" t="n">
        <v>7</v>
      </c>
      <c r="B10" s="4" t="n">
        <v>1</v>
      </c>
      <c r="C10" s="4" t="inlineStr">
        <is>
          <t>ø40×1083  BORU</t>
        </is>
      </c>
      <c r="D10" s="4" t="inlineStr">
        <is>
          <t>S235JR</t>
        </is>
      </c>
      <c r="E10" s="4" t="n">
        <v>11</v>
      </c>
      <c r="F10" s="4" t="n">
        <v>11</v>
      </c>
      <c r="G10" s="4" t="inlineStr">
        <is>
          <t>Kesim+Kaynak</t>
        </is>
      </c>
    </row>
    <row r="11">
      <c r="A11" s="6" t="n">
        <v>8</v>
      </c>
      <c r="B11" s="6" t="n">
        <v>1</v>
      </c>
      <c r="C11" s="6" t="inlineStr">
        <is>
          <t>⊏ 100×20 .........200</t>
        </is>
      </c>
      <c r="D11" s="6" t="inlineStr">
        <is>
          <t>S275J2</t>
        </is>
      </c>
      <c r="E11" s="6" t="n">
        <v>1.6</v>
      </c>
      <c r="F11" s="6" t="n">
        <v>1.6</v>
      </c>
      <c r="G11" s="6" t="inlineStr">
        <is>
          <t>Kesim</t>
        </is>
      </c>
    </row>
    <row r="12">
      <c r="A12" s="4" t="n">
        <v>9</v>
      </c>
      <c r="B12" s="4" t="n">
        <v>1</v>
      </c>
      <c r="C12" s="4" t="inlineStr">
        <is>
          <t>⊏ 100×20 .........200</t>
        </is>
      </c>
      <c r="D12" s="4" t="inlineStr">
        <is>
          <t>S275J2</t>
        </is>
      </c>
      <c r="E12" s="4" t="n">
        <v>1.6</v>
      </c>
      <c r="F12" s="4" t="n">
        <v>1.6</v>
      </c>
      <c r="G12" s="4" t="inlineStr">
        <is>
          <t>Kesim</t>
        </is>
      </c>
    </row>
    <row r="13">
      <c r="A13" s="6" t="n">
        <v>10</v>
      </c>
      <c r="B13" s="6" t="n">
        <v>1</v>
      </c>
      <c r="C13" s="6" t="inlineStr">
        <is>
          <t>⊏ ø70/ø42×30</t>
        </is>
      </c>
      <c r="D13" s="6" t="inlineStr">
        <is>
          <t>S275J2</t>
        </is>
      </c>
      <c r="E13" s="6" t="n">
        <v>1</v>
      </c>
      <c r="F13" s="6" t="n">
        <v>1</v>
      </c>
      <c r="G13" s="6" t="inlineStr">
        <is>
          <t>Kesim</t>
        </is>
      </c>
    </row>
    <row r="14">
      <c r="A14" s="4" t="n">
        <v>11</v>
      </c>
      <c r="B14" s="4" t="n">
        <v>1</v>
      </c>
      <c r="C14" s="4" t="inlineStr">
        <is>
          <t>⊏ 60×25 .........70</t>
        </is>
      </c>
      <c r="D14" s="4" t="inlineStr">
        <is>
          <t>S275J2</t>
        </is>
      </c>
      <c r="E14" s="4" t="n">
        <v>1</v>
      </c>
      <c r="F14" s="4" t="n">
        <v>1</v>
      </c>
      <c r="G14" s="4" t="inlineStr">
        <is>
          <t>Kesim</t>
        </is>
      </c>
    </row>
    <row r="15">
      <c r="A15" s="6" t="n">
        <v>12</v>
      </c>
      <c r="B15" s="6" t="n">
        <v>1</v>
      </c>
      <c r="C15" s="6" t="inlineStr">
        <is>
          <t>⊏ 67×14 .........80</t>
        </is>
      </c>
      <c r="D15" s="6" t="inlineStr">
        <is>
          <t>S275J2</t>
        </is>
      </c>
      <c r="E15" s="6" t="n">
        <v>0.5</v>
      </c>
      <c r="F15" s="6" t="n">
        <v>0.5</v>
      </c>
      <c r="G15" s="6" t="inlineStr">
        <is>
          <t>Kesim</t>
        </is>
      </c>
    </row>
    <row r="16">
      <c r="A16" s="4" t="n">
        <v>13</v>
      </c>
      <c r="B16" s="4" t="n">
        <v>2</v>
      </c>
      <c r="C16" s="4" t="inlineStr">
        <is>
          <t>⊏ 50×14 .........56</t>
        </is>
      </c>
      <c r="D16" s="4" t="inlineStr">
        <is>
          <t>S275J2</t>
        </is>
      </c>
      <c r="E16" s="4" t="n">
        <v>0.5</v>
      </c>
      <c r="F16" s="4" t="n">
        <v>1</v>
      </c>
      <c r="G16" s="4" t="inlineStr">
        <is>
          <t>Kesim</t>
        </is>
      </c>
    </row>
    <row r="17">
      <c r="A17" s="6" t="n">
        <v>14</v>
      </c>
      <c r="B17" s="6" t="n">
        <v>1</v>
      </c>
      <c r="C17" s="6" t="inlineStr">
        <is>
          <t>⊏ 46×14 .........50</t>
        </is>
      </c>
      <c r="D17" s="6" t="inlineStr">
        <is>
          <t>S275J2</t>
        </is>
      </c>
      <c r="E17" s="6" t="n">
        <v>0.5</v>
      </c>
      <c r="F17" s="6" t="n">
        <v>0.5</v>
      </c>
      <c r="G17" s="6" t="inlineStr">
        <is>
          <t>Kesim</t>
        </is>
      </c>
    </row>
    <row r="18">
      <c r="A18" s="4" t="n">
        <v>15</v>
      </c>
      <c r="B18" s="4" t="n">
        <v>1</v>
      </c>
      <c r="C18" s="4" t="inlineStr">
        <is>
          <t>ø24×200  YUVARLAK BORU</t>
        </is>
      </c>
      <c r="D18" s="4" t="inlineStr">
        <is>
          <t>S235JR</t>
        </is>
      </c>
      <c r="E18" s="4" t="n">
        <v>1</v>
      </c>
      <c r="F18" s="4" t="n">
        <v>1</v>
      </c>
      <c r="G18" s="4" t="inlineStr">
        <is>
          <t>Kesim</t>
        </is>
      </c>
    </row>
    <row r="19">
      <c r="A19" s="6" t="n">
        <v>16</v>
      </c>
      <c r="B19" s="6" t="n">
        <v>28</v>
      </c>
      <c r="C19" s="6" t="inlineStr">
        <is>
          <t>CİVATA M20×75</t>
        </is>
      </c>
      <c r="D19" s="6" t="inlineStr">
        <is>
          <t>DIN 601</t>
        </is>
      </c>
      <c r="E19" s="6" t="inlineStr">
        <is>
          <t>–</t>
        </is>
      </c>
      <c r="F19" s="6" t="inlineStr">
        <is>
          <t>–</t>
        </is>
      </c>
      <c r="G19" s="6" t="inlineStr">
        <is>
          <t>Montaj</t>
        </is>
      </c>
    </row>
    <row r="20">
      <c r="A20" s="4" t="n">
        <v>17</v>
      </c>
      <c r="B20" s="4" t="n">
        <v>1</v>
      </c>
      <c r="C20" s="4" t="inlineStr">
        <is>
          <t>CİVATA M20×110</t>
        </is>
      </c>
      <c r="D20" s="4" t="inlineStr">
        <is>
          <t>DIN 601</t>
        </is>
      </c>
      <c r="E20" s="4" t="inlineStr">
        <is>
          <t>–</t>
        </is>
      </c>
      <c r="F20" s="4" t="inlineStr">
        <is>
          <t>–</t>
        </is>
      </c>
      <c r="G20" s="4" t="inlineStr">
        <is>
          <t>Montaj</t>
        </is>
      </c>
    </row>
    <row r="21">
      <c r="A21" s="6" t="n">
        <v>18</v>
      </c>
      <c r="B21" s="6" t="n">
        <v>2</v>
      </c>
      <c r="C21" s="6" t="inlineStr">
        <is>
          <t>SOMUN M24</t>
        </is>
      </c>
      <c r="D21" s="6" t="inlineStr">
        <is>
          <t>DIN 555</t>
        </is>
      </c>
      <c r="E21" s="6" t="inlineStr">
        <is>
          <t>–</t>
        </is>
      </c>
      <c r="F21" s="6" t="inlineStr">
        <is>
          <t>–</t>
        </is>
      </c>
      <c r="G21" s="6" t="inlineStr">
        <is>
          <t>Montaj</t>
        </is>
      </c>
    </row>
    <row r="22">
      <c r="A22" s="4" t="n">
        <v>19</v>
      </c>
      <c r="B22" s="4" t="n">
        <v>58</v>
      </c>
      <c r="C22" s="4" t="inlineStr">
        <is>
          <t>SOMUN M20</t>
        </is>
      </c>
      <c r="D22" s="4" t="inlineStr">
        <is>
          <t>DIN 555</t>
        </is>
      </c>
      <c r="E22" s="4" t="inlineStr">
        <is>
          <t>–</t>
        </is>
      </c>
      <c r="F22" s="4" t="inlineStr">
        <is>
          <t>–</t>
        </is>
      </c>
      <c r="G22" s="4" t="inlineStr">
        <is>
          <t>Montaj</t>
        </is>
      </c>
    </row>
    <row r="23">
      <c r="A23" s="6" t="n">
        <v>20</v>
      </c>
      <c r="B23" s="6" t="n">
        <v>58</v>
      </c>
      <c r="C23" s="6" t="inlineStr">
        <is>
          <t>RONDELA D 22/37  S=3</t>
        </is>
      </c>
      <c r="D23" s="6" t="inlineStr">
        <is>
          <t>DIN 126 Gr.C</t>
        </is>
      </c>
      <c r="E23" s="6" t="inlineStr">
        <is>
          <t>–</t>
        </is>
      </c>
      <c r="F23" s="6" t="inlineStr">
        <is>
          <t>–</t>
        </is>
      </c>
      <c r="G23" s="6" t="inlineStr">
        <is>
          <t>Montaj</t>
        </is>
      </c>
    </row>
    <row r="24">
      <c r="A24" s="4" t="n">
        <v>21</v>
      </c>
      <c r="B24" s="4" t="n">
        <v>1</v>
      </c>
      <c r="C24" s="4" t="inlineStr">
        <is>
          <t>1/4" NPT TAPA</t>
        </is>
      </c>
      <c r="D24" s="4" t="inlineStr">
        <is>
          <t>–</t>
        </is>
      </c>
      <c r="E24" s="4" t="inlineStr">
        <is>
          <t>–</t>
        </is>
      </c>
      <c r="F24" s="4" t="inlineStr">
        <is>
          <t>–</t>
        </is>
      </c>
      <c r="G24" s="4" t="inlineStr">
        <is>
          <t>Montaj</t>
        </is>
      </c>
    </row>
    <row r="25">
      <c r="A25" s="8" t="inlineStr">
        <is>
          <t>TOPLAM AĞIRLIK: 180.0 Kg</t>
        </is>
      </c>
      <c r="F25" s="9" t="n">
        <v>180</v>
      </c>
      <c r="G25" s="9" t="inlineStr"/>
    </row>
    <row r="27" ht="18" customHeight="1">
      <c r="A27" s="7" t="inlineStr">
        <is>
          <t>24" TAVAN MANHOLU (M2)  —  1 Adet</t>
        </is>
      </c>
    </row>
    <row r="28" ht="30" customHeight="1">
      <c r="A28" s="2" t="inlineStr">
        <is>
          <t>POZ</t>
        </is>
      </c>
      <c r="B28" s="2" t="inlineStr">
        <is>
          <t>ADET</t>
        </is>
      </c>
      <c r="C28" s="2" t="inlineStr">
        <is>
          <t>AÇIKLAMA</t>
        </is>
      </c>
      <c r="D28" s="2" t="inlineStr">
        <is>
          <t>MALZEME</t>
        </is>
      </c>
      <c r="E28" s="2" t="inlineStr">
        <is>
          <t>BİRİM
AĞIRLIK(kg)</t>
        </is>
      </c>
      <c r="F28" s="2" t="inlineStr">
        <is>
          <t>TOPLAM
AĞIRLIK(kg)</t>
        </is>
      </c>
      <c r="G28" s="2" t="inlineStr">
        <is>
          <t>İŞLEM TÜRÜ</t>
        </is>
      </c>
    </row>
    <row r="29">
      <c r="A29" s="4" t="n">
        <v>1</v>
      </c>
      <c r="B29" s="4" t="n">
        <v>1</v>
      </c>
      <c r="C29" s="4" t="inlineStr">
        <is>
          <t>⊏ 400×8 .........1910</t>
        </is>
      </c>
      <c r="D29" s="4" t="inlineStr">
        <is>
          <t>S275J2</t>
        </is>
      </c>
      <c r="E29" s="4" t="n">
        <v>48</v>
      </c>
      <c r="F29" s="4" t="n">
        <v>48</v>
      </c>
      <c r="G29" s="4" t="inlineStr">
        <is>
          <t>Silindirik Bükme+Kaynak</t>
        </is>
      </c>
    </row>
    <row r="30">
      <c r="A30" s="6" t="n">
        <v>2</v>
      </c>
      <c r="B30" s="6" t="n">
        <v>1</v>
      </c>
      <c r="C30" s="6" t="inlineStr">
        <is>
          <t>⊏ ø750/ø616×8  HALKA</t>
        </is>
      </c>
      <c r="D30" s="6" t="inlineStr">
        <is>
          <t>S275J2</t>
        </is>
      </c>
      <c r="E30" s="6" t="n">
        <v>10</v>
      </c>
      <c r="F30" s="6" t="n">
        <v>10</v>
      </c>
      <c r="G30" s="6" t="inlineStr">
        <is>
          <t>Kesim+Kaynak</t>
        </is>
      </c>
    </row>
    <row r="31">
      <c r="A31" s="4" t="n">
        <v>3</v>
      </c>
      <c r="B31" s="4" t="n">
        <v>1</v>
      </c>
      <c r="C31" s="4" t="inlineStr">
        <is>
          <t>ø750×8  DAİRE PLAKA</t>
        </is>
      </c>
      <c r="D31" s="4" t="inlineStr">
        <is>
          <t>S275J2</t>
        </is>
      </c>
      <c r="E31" s="4" t="n">
        <v>28</v>
      </c>
      <c r="F31" s="4" t="n">
        <v>28</v>
      </c>
      <c r="G31" s="4" t="inlineStr">
        <is>
          <t>Kesim</t>
        </is>
      </c>
    </row>
    <row r="32">
      <c r="A32" s="6" t="n">
        <v>4</v>
      </c>
      <c r="B32" s="6" t="n">
        <v>1</v>
      </c>
      <c r="C32" s="6" t="inlineStr">
        <is>
          <t>⊏ ø1150/ø616×8  HALKA</t>
        </is>
      </c>
      <c r="D32" s="6" t="inlineStr">
        <is>
          <t>S275J2</t>
        </is>
      </c>
      <c r="E32" s="6" t="n">
        <v>46.5</v>
      </c>
      <c r="F32" s="6" t="n">
        <v>46.5</v>
      </c>
      <c r="G32" s="6" t="inlineStr">
        <is>
          <t>Kesim+Kaynak</t>
        </is>
      </c>
    </row>
    <row r="33">
      <c r="A33" s="4" t="n">
        <v>5</v>
      </c>
      <c r="B33" s="4" t="n">
        <v>1</v>
      </c>
      <c r="C33" s="4" t="inlineStr">
        <is>
          <t>ø750×ø616×1.5  GASKET</t>
        </is>
      </c>
      <c r="D33" s="4" t="inlineStr">
        <is>
          <t>KLİNGERİT</t>
        </is>
      </c>
      <c r="E33" s="4" t="inlineStr">
        <is>
          <t>–</t>
        </is>
      </c>
      <c r="F33" s="4" t="inlineStr">
        <is>
          <t>–</t>
        </is>
      </c>
      <c r="G33" s="4" t="inlineStr">
        <is>
          <t>Montaj</t>
        </is>
      </c>
    </row>
    <row r="34">
      <c r="A34" s="6" t="n">
        <v>6</v>
      </c>
      <c r="B34" s="6" t="n">
        <v>2</v>
      </c>
      <c r="C34" s="6" t="inlineStr">
        <is>
          <t>ø16×318  YUVARLAK BORU</t>
        </is>
      </c>
      <c r="D34" s="6" t="inlineStr">
        <is>
          <t>S235JR</t>
        </is>
      </c>
      <c r="E34" s="6" t="n">
        <v>1</v>
      </c>
      <c r="F34" s="6" t="n">
        <v>2</v>
      </c>
      <c r="G34" s="6" t="inlineStr">
        <is>
          <t>Kesim</t>
        </is>
      </c>
    </row>
    <row r="35">
      <c r="A35" s="4" t="n">
        <v>7</v>
      </c>
      <c r="B35" s="4" t="n">
        <v>20</v>
      </c>
      <c r="C35" s="4" t="inlineStr">
        <is>
          <t>CİVATA M16×50</t>
        </is>
      </c>
      <c r="D35" s="4" t="inlineStr">
        <is>
          <t>DIN 601</t>
        </is>
      </c>
      <c r="E35" s="4" t="inlineStr">
        <is>
          <t>–</t>
        </is>
      </c>
      <c r="F35" s="4" t="inlineStr">
        <is>
          <t>–</t>
        </is>
      </c>
      <c r="G35" s="4" t="inlineStr">
        <is>
          <t>Montaj</t>
        </is>
      </c>
    </row>
    <row r="36">
      <c r="A36" s="6" t="n">
        <v>8</v>
      </c>
      <c r="B36" s="6" t="n">
        <v>20</v>
      </c>
      <c r="C36" s="6" t="inlineStr">
        <is>
          <t>SOMUN M16</t>
        </is>
      </c>
      <c r="D36" s="6" t="inlineStr">
        <is>
          <t>DIN 555</t>
        </is>
      </c>
      <c r="E36" s="6" t="inlineStr">
        <is>
          <t>–</t>
        </is>
      </c>
      <c r="F36" s="6" t="inlineStr">
        <is>
          <t>–</t>
        </is>
      </c>
      <c r="G36" s="6" t="inlineStr">
        <is>
          <t>Montaj</t>
        </is>
      </c>
    </row>
    <row r="37">
      <c r="A37" s="4" t="n">
        <v>9</v>
      </c>
      <c r="B37" s="4" t="n">
        <v>20</v>
      </c>
      <c r="C37" s="4" t="inlineStr">
        <is>
          <t>RONDELA D 17/30  S=3</t>
        </is>
      </c>
      <c r="D37" s="4" t="inlineStr">
        <is>
          <t>DIN 126 Gr.C</t>
        </is>
      </c>
      <c r="E37" s="4" t="inlineStr">
        <is>
          <t>–</t>
        </is>
      </c>
      <c r="F37" s="4" t="inlineStr">
        <is>
          <t>–</t>
        </is>
      </c>
      <c r="G37" s="4" t="inlineStr">
        <is>
          <t>Montaj</t>
        </is>
      </c>
    </row>
    <row r="38">
      <c r="A38" s="6" t="n">
        <v>10</v>
      </c>
      <c r="B38" s="6" t="n">
        <v>1</v>
      </c>
      <c r="C38" s="6" t="inlineStr">
        <is>
          <t>1/4" NPT TAPA</t>
        </is>
      </c>
      <c r="D38" s="6" t="inlineStr">
        <is>
          <t>–</t>
        </is>
      </c>
      <c r="E38" s="6" t="inlineStr">
        <is>
          <t>–</t>
        </is>
      </c>
      <c r="F38" s="6" t="inlineStr">
        <is>
          <t>–</t>
        </is>
      </c>
      <c r="G38" s="6" t="inlineStr">
        <is>
          <t>Montaj</t>
        </is>
      </c>
    </row>
    <row r="39">
      <c r="A39" s="8" t="inlineStr">
        <is>
          <t>TOPLAM AĞIRLIK: 132.5 Kg</t>
        </is>
      </c>
      <c r="F39" s="9" t="n">
        <v>132.5</v>
      </c>
      <c r="G39" s="9" t="inlineStr"/>
    </row>
    <row r="41" ht="18" customHeight="1">
      <c r="A41" s="7" t="inlineStr">
        <is>
          <t>24" TEMİZLEME NOZULU (M3)  —  1 Adet</t>
        </is>
      </c>
    </row>
    <row r="42" ht="30" customHeight="1">
      <c r="A42" s="2" t="inlineStr">
        <is>
          <t>POZ</t>
        </is>
      </c>
      <c r="B42" s="2" t="inlineStr">
        <is>
          <t>ADET</t>
        </is>
      </c>
      <c r="C42" s="2" t="inlineStr">
        <is>
          <t>AÇIKLAMA</t>
        </is>
      </c>
      <c r="D42" s="2" t="inlineStr">
        <is>
          <t>MALZEME</t>
        </is>
      </c>
      <c r="E42" s="2" t="inlineStr">
        <is>
          <t>BİRİM
AĞIRLIK(kg)</t>
        </is>
      </c>
      <c r="F42" s="2" t="inlineStr">
        <is>
          <t>TOPLAM
AĞIRLIK(kg)</t>
        </is>
      </c>
      <c r="G42" s="2" t="inlineStr">
        <is>
          <t>İŞLEM TÜRÜ</t>
        </is>
      </c>
    </row>
    <row r="43">
      <c r="A43" s="4" t="n">
        <v>1</v>
      </c>
      <c r="B43" s="4" t="n">
        <v>1</v>
      </c>
      <c r="C43" s="4" t="inlineStr">
        <is>
          <t>⊏ 433×8 ......... 1585</t>
        </is>
      </c>
      <c r="D43" s="4" t="inlineStr">
        <is>
          <t>S275J2</t>
        </is>
      </c>
      <c r="E43" s="4" t="n">
        <v>43</v>
      </c>
      <c r="F43" s="4" t="n">
        <v>43</v>
      </c>
      <c r="G43" s="4" t="inlineStr">
        <is>
          <t>Silindirik Bükme+Kaynak</t>
        </is>
      </c>
    </row>
    <row r="44">
      <c r="A44" s="6" t="n">
        <v>2</v>
      </c>
      <c r="B44" s="6" t="n">
        <v>1</v>
      </c>
      <c r="C44" s="6" t="inlineStr">
        <is>
          <t>⊏ 808×13 ......... 2124</t>
        </is>
      </c>
      <c r="D44" s="6" t="inlineStr">
        <is>
          <t>S275J2</t>
        </is>
      </c>
      <c r="E44" s="6" t="n">
        <v>145.6</v>
      </c>
      <c r="F44" s="6" t="n">
        <v>145.6</v>
      </c>
      <c r="G44" s="6" t="inlineStr">
        <is>
          <t>Silindirik Bükme+Kaynak</t>
        </is>
      </c>
    </row>
    <row r="45">
      <c r="A45" s="4" t="n">
        <v>3</v>
      </c>
      <c r="B45" s="4" t="n">
        <v>1</v>
      </c>
      <c r="C45" s="4" t="inlineStr">
        <is>
          <t>⊏ 915×8 ......... 1830</t>
        </is>
      </c>
      <c r="D45" s="4" t="inlineStr">
        <is>
          <t>S275J2</t>
        </is>
      </c>
      <c r="E45" s="4" t="n">
        <v>68.5</v>
      </c>
      <c r="F45" s="4" t="n">
        <v>68.5</v>
      </c>
      <c r="G45" s="4" t="inlineStr">
        <is>
          <t>Silindirik Bükme+Kaynak</t>
        </is>
      </c>
    </row>
    <row r="46">
      <c r="A46" s="6" t="n">
        <v>4</v>
      </c>
      <c r="B46" s="6" t="n">
        <v>1</v>
      </c>
      <c r="C46" s="6" t="inlineStr">
        <is>
          <t>⊏ 807×13 ......... 814</t>
        </is>
      </c>
      <c r="D46" s="6" t="inlineStr">
        <is>
          <t>S275J2</t>
        </is>
      </c>
      <c r="E46" s="6" t="n">
        <v>24.3</v>
      </c>
      <c r="F46" s="6" t="n">
        <v>24.3</v>
      </c>
      <c r="G46" s="6" t="inlineStr">
        <is>
          <t>Kesim</t>
        </is>
      </c>
    </row>
    <row r="47">
      <c r="A47" s="4" t="n">
        <v>5</v>
      </c>
      <c r="B47" s="4" t="n">
        <v>1</v>
      </c>
      <c r="C47" s="4" t="inlineStr">
        <is>
          <t>⊏ 807×814×3  NON ASBESTOS GASKET</t>
        </is>
      </c>
      <c r="D47" s="4" t="inlineStr">
        <is>
          <t>KLİNGERİT</t>
        </is>
      </c>
      <c r="E47" s="4" t="inlineStr">
        <is>
          <t>–</t>
        </is>
      </c>
      <c r="F47" s="4" t="inlineStr">
        <is>
          <t>–</t>
        </is>
      </c>
      <c r="G47" s="4" t="inlineStr">
        <is>
          <t>Montaj</t>
        </is>
      </c>
    </row>
    <row r="48">
      <c r="A48" s="6" t="n">
        <v>6</v>
      </c>
      <c r="B48" s="6" t="n">
        <v>1</v>
      </c>
      <c r="C48" s="6" t="inlineStr">
        <is>
          <t>⊏ 807×13 ......... 814</t>
        </is>
      </c>
      <c r="D48" s="6" t="inlineStr">
        <is>
          <t>S275J2</t>
        </is>
      </c>
      <c r="E48" s="6" t="n">
        <v>60</v>
      </c>
      <c r="F48" s="6" t="n">
        <v>60</v>
      </c>
      <c r="G48" s="6" t="inlineStr">
        <is>
          <t>Kesim</t>
        </is>
      </c>
    </row>
    <row r="49">
      <c r="A49" s="4" t="n">
        <v>7</v>
      </c>
      <c r="B49" s="4" t="n">
        <v>2</v>
      </c>
      <c r="C49" s="4" t="inlineStr">
        <is>
          <t>ø16×316  ÇUBUK DEMİR</t>
        </is>
      </c>
      <c r="D49" s="4" t="inlineStr">
        <is>
          <t>S275J2</t>
        </is>
      </c>
      <c r="E49" s="4" t="n">
        <v>1</v>
      </c>
      <c r="F49" s="4" t="n">
        <v>2</v>
      </c>
      <c r="G49" s="4" t="inlineStr">
        <is>
          <t>Kesim</t>
        </is>
      </c>
    </row>
    <row r="50">
      <c r="A50" s="6" t="n">
        <v>8</v>
      </c>
      <c r="B50" s="6" t="n">
        <v>36</v>
      </c>
      <c r="C50" s="6" t="inlineStr">
        <is>
          <t>M20×70  CİVATA</t>
        </is>
      </c>
      <c r="D50" s="6" t="inlineStr">
        <is>
          <t>DIN 601</t>
        </is>
      </c>
      <c r="E50" s="6" t="inlineStr">
        <is>
          <t>–</t>
        </is>
      </c>
      <c r="F50" s="6" t="inlineStr">
        <is>
          <t>–</t>
        </is>
      </c>
      <c r="G50" s="6" t="inlineStr">
        <is>
          <t>Montaj</t>
        </is>
      </c>
    </row>
    <row r="51">
      <c r="A51" s="4" t="n">
        <v>9</v>
      </c>
      <c r="B51" s="4" t="n">
        <v>74</v>
      </c>
      <c r="C51" s="4" t="inlineStr">
        <is>
          <t>M20  SOMUN</t>
        </is>
      </c>
      <c r="D51" s="4" t="inlineStr">
        <is>
          <t>DIN 555</t>
        </is>
      </c>
      <c r="E51" s="4" t="inlineStr">
        <is>
          <t>–</t>
        </is>
      </c>
      <c r="F51" s="4" t="inlineStr">
        <is>
          <t>–</t>
        </is>
      </c>
      <c r="G51" s="4" t="inlineStr">
        <is>
          <t>Montaj</t>
        </is>
      </c>
    </row>
    <row r="52">
      <c r="A52" s="6" t="n">
        <v>10</v>
      </c>
      <c r="B52" s="6" t="n">
        <v>37</v>
      </c>
      <c r="C52" s="6" t="inlineStr">
        <is>
          <t>D 22/37  S=3  RONDELA</t>
        </is>
      </c>
      <c r="D52" s="6" t="inlineStr">
        <is>
          <t>DIN 126</t>
        </is>
      </c>
      <c r="E52" s="6" t="inlineStr">
        <is>
          <t>–</t>
        </is>
      </c>
      <c r="F52" s="6" t="inlineStr">
        <is>
          <t>–</t>
        </is>
      </c>
      <c r="G52" s="6" t="inlineStr">
        <is>
          <t>Montaj</t>
        </is>
      </c>
    </row>
    <row r="53">
      <c r="A53" s="4" t="n">
        <v>11</v>
      </c>
      <c r="B53" s="4" t="n">
        <v>1</v>
      </c>
      <c r="C53" s="4" t="inlineStr">
        <is>
          <t>ø40×1179  ÇUBUK DEMİR</t>
        </is>
      </c>
      <c r="D53" s="4" t="inlineStr">
        <is>
          <t>S275J2</t>
        </is>
      </c>
      <c r="E53" s="4" t="n">
        <v>11.6</v>
      </c>
      <c r="F53" s="4" t="n">
        <v>11.6</v>
      </c>
      <c r="G53" s="4" t="inlineStr">
        <is>
          <t>Kesim</t>
        </is>
      </c>
    </row>
    <row r="54">
      <c r="A54" s="6" t="n">
        <v>12</v>
      </c>
      <c r="B54" s="6" t="n">
        <v>1</v>
      </c>
      <c r="C54" s="6" t="inlineStr">
        <is>
          <t>⊏ ø42×ø80×25</t>
        </is>
      </c>
      <c r="D54" s="6" t="inlineStr">
        <is>
          <t>S275J2</t>
        </is>
      </c>
      <c r="E54" s="6" t="n">
        <v>0.6</v>
      </c>
      <c r="F54" s="6" t="n">
        <v>0.6</v>
      </c>
      <c r="G54" s="6" t="inlineStr">
        <is>
          <t>Kesim</t>
        </is>
      </c>
    </row>
    <row r="55">
      <c r="A55" s="4" t="n">
        <v>13</v>
      </c>
      <c r="B55" s="4" t="n">
        <v>1</v>
      </c>
      <c r="C55" s="4" t="inlineStr">
        <is>
          <t>⊏ 60×60×25</t>
        </is>
      </c>
      <c r="D55" s="4" t="inlineStr">
        <is>
          <t>S275J2</t>
        </is>
      </c>
      <c r="E55" s="4" t="n">
        <v>0.7</v>
      </c>
      <c r="F55" s="4" t="n">
        <v>0.7</v>
      </c>
      <c r="G55" s="4" t="inlineStr">
        <is>
          <t>Kesim</t>
        </is>
      </c>
    </row>
    <row r="56">
      <c r="A56" s="6" t="n">
        <v>14</v>
      </c>
      <c r="B56" s="6" t="n">
        <v>1</v>
      </c>
      <c r="C56" s="6" t="inlineStr">
        <is>
          <t>ø20×451  ÇUBUK DEMİR</t>
        </is>
      </c>
      <c r="D56" s="6" t="inlineStr">
        <is>
          <t>S275J2</t>
        </is>
      </c>
      <c r="E56" s="6" t="n">
        <v>1.3</v>
      </c>
      <c r="F56" s="6" t="n">
        <v>1.3</v>
      </c>
      <c r="G56" s="6" t="inlineStr">
        <is>
          <t>Kesim</t>
        </is>
      </c>
    </row>
    <row r="57">
      <c r="A57" s="4" t="n">
        <v>15</v>
      </c>
      <c r="B57" s="4" t="n">
        <v>1</v>
      </c>
      <c r="C57" s="4" t="inlineStr">
        <is>
          <t>⊏ 200×112×10</t>
        </is>
      </c>
      <c r="D57" s="4" t="inlineStr">
        <is>
          <t>S275J2</t>
        </is>
      </c>
      <c r="E57" s="4" t="n">
        <v>1.8</v>
      </c>
      <c r="F57" s="4" t="n">
        <v>1.8</v>
      </c>
      <c r="G57" s="4" t="inlineStr">
        <is>
          <t>Kesim</t>
        </is>
      </c>
    </row>
    <row r="58">
      <c r="A58" s="6" t="n">
        <v>16</v>
      </c>
      <c r="B58" s="6" t="n">
        <v>1</v>
      </c>
      <c r="C58" s="6" t="inlineStr">
        <is>
          <t>⊏ 655×100×15</t>
        </is>
      </c>
      <c r="D58" s="6" t="inlineStr">
        <is>
          <t>S275J2</t>
        </is>
      </c>
      <c r="E58" s="6" t="n">
        <v>7.4</v>
      </c>
      <c r="F58" s="6" t="n">
        <v>7.4</v>
      </c>
      <c r="G58" s="6" t="inlineStr">
        <is>
          <t>Kesim</t>
        </is>
      </c>
    </row>
    <row r="59">
      <c r="A59" s="4" t="n">
        <v>17</v>
      </c>
      <c r="B59" s="4" t="n">
        <v>1</v>
      </c>
      <c r="C59" s="4" t="inlineStr">
        <is>
          <t>⊏ ø80×ø42×10</t>
        </is>
      </c>
      <c r="D59" s="4" t="inlineStr">
        <is>
          <t>S275J2</t>
        </is>
      </c>
      <c r="E59" s="4" t="n">
        <v>0.2</v>
      </c>
      <c r="F59" s="4" t="n">
        <v>0.2</v>
      </c>
      <c r="G59" s="4" t="inlineStr">
        <is>
          <t>Kesim</t>
        </is>
      </c>
    </row>
    <row r="60">
      <c r="A60" s="6" t="n">
        <v>18</v>
      </c>
      <c r="B60" s="6" t="n">
        <v>1</v>
      </c>
      <c r="C60" s="6" t="inlineStr">
        <is>
          <t>ø8×75  PİM</t>
        </is>
      </c>
      <c r="D60" s="6" t="inlineStr">
        <is>
          <t>S275J2</t>
        </is>
      </c>
      <c r="E60" s="6" t="inlineStr">
        <is>
          <t>–</t>
        </is>
      </c>
      <c r="F60" s="6" t="inlineStr">
        <is>
          <t>–</t>
        </is>
      </c>
      <c r="G60" s="6" t="inlineStr">
        <is>
          <t>Montaj</t>
        </is>
      </c>
    </row>
    <row r="61">
      <c r="A61" s="4" t="n">
        <v>19</v>
      </c>
      <c r="B61" s="4" t="n">
        <v>1</v>
      </c>
      <c r="C61" s="4" t="inlineStr">
        <is>
          <t>1/4" NPT TAPA</t>
        </is>
      </c>
      <c r="D61" s="4" t="inlineStr">
        <is>
          <t>–</t>
        </is>
      </c>
      <c r="E61" s="4" t="inlineStr">
        <is>
          <t>–</t>
        </is>
      </c>
      <c r="F61" s="4" t="inlineStr">
        <is>
          <t>–</t>
        </is>
      </c>
      <c r="G61" s="4" t="inlineStr">
        <is>
          <t>Montaj</t>
        </is>
      </c>
    </row>
    <row r="62">
      <c r="A62" s="8" t="inlineStr">
        <is>
          <t>TOPLAM AĞIRLIK: 367.0 Kg</t>
        </is>
      </c>
      <c r="F62" s="9" t="n">
        <v>367</v>
      </c>
      <c r="G62" s="9" t="inlineStr"/>
    </row>
    <row r="64" ht="18" customHeight="1">
      <c r="A64" s="7" t="inlineStr">
        <is>
          <t>TANK İSİM PLAKASI  (1 Adet)</t>
        </is>
      </c>
    </row>
    <row r="65" ht="30" customHeight="1">
      <c r="A65" s="2" t="inlineStr">
        <is>
          <t>POZ</t>
        </is>
      </c>
      <c r="B65" s="2" t="inlineStr">
        <is>
          <t>ADET</t>
        </is>
      </c>
      <c r="C65" s="2" t="inlineStr">
        <is>
          <t>AÇIKLAMA</t>
        </is>
      </c>
      <c r="D65" s="2" t="inlineStr">
        <is>
          <t>MALZEME</t>
        </is>
      </c>
      <c r="E65" s="2" t="inlineStr">
        <is>
          <t>BİRİM
AĞIRLIK(kg)</t>
        </is>
      </c>
      <c r="F65" s="2" t="inlineStr">
        <is>
          <t>TOPLAM
AĞIRLIK(kg)</t>
        </is>
      </c>
      <c r="G65" s="2" t="inlineStr">
        <is>
          <t>İŞLEM TÜRÜ</t>
        </is>
      </c>
    </row>
    <row r="66">
      <c r="A66" s="4" t="n">
        <v>1</v>
      </c>
      <c r="B66" s="4" t="n">
        <v>1</v>
      </c>
      <c r="C66" s="4" t="inlineStr">
        <is>
          <t>⊏ 215×6 ......... 230</t>
        </is>
      </c>
      <c r="D66" s="4" t="inlineStr">
        <is>
          <t>S275J2</t>
        </is>
      </c>
      <c r="E66" s="4" t="n">
        <v>2.33</v>
      </c>
      <c r="F66" s="4" t="n">
        <v>2.33</v>
      </c>
      <c r="G66" s="4" t="inlineStr">
        <is>
          <t>Kesim</t>
        </is>
      </c>
    </row>
    <row r="67">
      <c r="A67" s="6" t="n">
        <v>2</v>
      </c>
      <c r="B67" s="6" t="n">
        <v>1</v>
      </c>
      <c r="C67" s="6" t="inlineStr">
        <is>
          <t>⊏ 230×6 ......... 230</t>
        </is>
      </c>
      <c r="D67" s="6" t="inlineStr">
        <is>
          <t>S275J2</t>
        </is>
      </c>
      <c r="E67" s="6" t="n">
        <v>2.33</v>
      </c>
      <c r="F67" s="6" t="n">
        <v>2.33</v>
      </c>
      <c r="G67" s="6" t="inlineStr">
        <is>
          <t>Kesim</t>
        </is>
      </c>
    </row>
    <row r="68">
      <c r="A68" s="4" t="n">
        <v>3</v>
      </c>
      <c r="B68" s="4" t="n">
        <v>2</v>
      </c>
      <c r="C68" s="4" t="inlineStr">
        <is>
          <t>⊏ 25×6 ......... 230</t>
        </is>
      </c>
      <c r="D68" s="4" t="inlineStr">
        <is>
          <t>S275J2</t>
        </is>
      </c>
      <c r="E68" s="4" t="n">
        <v>0.26</v>
      </c>
      <c r="F68" s="4" t="n">
        <v>0.52</v>
      </c>
      <c r="G68" s="4" t="inlineStr">
        <is>
          <t>Kesim</t>
        </is>
      </c>
    </row>
    <row r="69">
      <c r="A69" s="6" t="n">
        <v>4</v>
      </c>
      <c r="B69" s="6" t="n">
        <v>4</v>
      </c>
      <c r="C69" s="6" t="inlineStr">
        <is>
          <t>BOLT/NVT NO.5-40 UNC</t>
        </is>
      </c>
      <c r="D69" s="6" t="inlineStr">
        <is>
          <t>304 S.S</t>
        </is>
      </c>
      <c r="E69" s="6" t="inlineStr">
        <is>
          <t>–</t>
        </is>
      </c>
      <c r="F69" s="6" t="inlineStr">
        <is>
          <t>–</t>
        </is>
      </c>
      <c r="G69" s="6" t="inlineStr">
        <is>
          <t>Montaj</t>
        </is>
      </c>
    </row>
    <row r="70">
      <c r="A70" s="8" t="inlineStr">
        <is>
          <t>TOPLAM AĞIRLIK: 5.18 Kg</t>
        </is>
      </c>
      <c r="F70" s="9" t="n">
        <v>5.18</v>
      </c>
      <c r="G70" s="9" t="inlineStr"/>
    </row>
    <row r="72" ht="18" customHeight="1">
      <c r="A72" s="7" t="inlineStr">
        <is>
          <t>MERDİVEN + KORKULUK  (1 Komple)</t>
        </is>
      </c>
    </row>
    <row r="73" ht="30" customHeight="1">
      <c r="A73" s="2" t="inlineStr">
        <is>
          <t>POZ</t>
        </is>
      </c>
      <c r="B73" s="2" t="inlineStr">
        <is>
          <t>ADET</t>
        </is>
      </c>
      <c r="C73" s="2" t="inlineStr">
        <is>
          <t>AÇIKLAMA</t>
        </is>
      </c>
      <c r="D73" s="2" t="inlineStr">
        <is>
          <t>MALZEME</t>
        </is>
      </c>
      <c r="E73" s="2" t="inlineStr">
        <is>
          <t>BİRİM
AĞIRLIK(kg)</t>
        </is>
      </c>
      <c r="F73" s="2" t="inlineStr">
        <is>
          <t>TOPLAM
AĞIRLIK(kg)</t>
        </is>
      </c>
      <c r="G73" s="2" t="inlineStr">
        <is>
          <t>İŞLEM TÜRÜ</t>
        </is>
      </c>
    </row>
    <row r="74">
      <c r="A74" s="4" t="n">
        <v>1</v>
      </c>
      <c r="B74" s="4" t="n">
        <v>1</v>
      </c>
      <c r="C74" s="4" t="inlineStr">
        <is>
          <t>⊏ 8×200 ......... 7550.5</t>
        </is>
      </c>
      <c r="D74" s="4" t="inlineStr">
        <is>
          <t>S235JR</t>
        </is>
      </c>
      <c r="E74" s="4" t="n">
        <v>94.8</v>
      </c>
      <c r="F74" s="4" t="n">
        <v>94.8</v>
      </c>
      <c r="G74" s="4" t="inlineStr">
        <is>
          <t>Kesim</t>
        </is>
      </c>
    </row>
    <row r="75">
      <c r="A75" s="6" t="n">
        <v>2</v>
      </c>
      <c r="B75" s="6" t="n">
        <v>1</v>
      </c>
      <c r="C75" s="6" t="inlineStr">
        <is>
          <t>⊏ 8×200 ......... 972.5</t>
        </is>
      </c>
      <c r="D75" s="6" t="inlineStr">
        <is>
          <t>S235JR</t>
        </is>
      </c>
      <c r="E75" s="6" t="n">
        <v>12.2</v>
      </c>
      <c r="F75" s="6" t="n">
        <v>12.2</v>
      </c>
      <c r="G75" s="6" t="inlineStr">
        <is>
          <t>Kesim</t>
        </is>
      </c>
    </row>
    <row r="76">
      <c r="A76" s="4" t="n">
        <v>3</v>
      </c>
      <c r="B76" s="4" t="n">
        <v>1</v>
      </c>
      <c r="C76" s="4" t="inlineStr">
        <is>
          <t>⊏ 8×200 ......... 6190</t>
        </is>
      </c>
      <c r="D76" s="4" t="inlineStr">
        <is>
          <t>S235JR</t>
        </is>
      </c>
      <c r="E76" s="4" t="n">
        <v>77.7</v>
      </c>
      <c r="F76" s="4" t="n">
        <v>77.7</v>
      </c>
      <c r="G76" s="4" t="inlineStr">
        <is>
          <t>Kesim</t>
        </is>
      </c>
    </row>
    <row r="77">
      <c r="A77" s="6" t="n">
        <v>4</v>
      </c>
      <c r="B77" s="6" t="n">
        <v>1</v>
      </c>
      <c r="C77" s="6" t="inlineStr">
        <is>
          <t>⊏ 8×200 ......... 899.5</t>
        </is>
      </c>
      <c r="D77" s="6" t="inlineStr">
        <is>
          <t>S235JR</t>
        </is>
      </c>
      <c r="E77" s="6" t="n">
        <v>11.3</v>
      </c>
      <c r="F77" s="6" t="n">
        <v>11.3</v>
      </c>
      <c r="G77" s="6" t="inlineStr">
        <is>
          <t>Kesim</t>
        </is>
      </c>
    </row>
    <row r="78">
      <c r="A78" s="4" t="n">
        <v>5</v>
      </c>
      <c r="B78" s="4" t="n">
        <v>1</v>
      </c>
      <c r="C78" s="4" t="inlineStr">
        <is>
          <t>⊏ 8×200 ......... 8057.5</t>
        </is>
      </c>
      <c r="D78" s="4" t="inlineStr">
        <is>
          <t>S235JR</t>
        </is>
      </c>
      <c r="E78" s="4" t="n">
        <v>101.4</v>
      </c>
      <c r="F78" s="4" t="n">
        <v>101.4</v>
      </c>
      <c r="G78" s="4" t="inlineStr">
        <is>
          <t>Kesim</t>
        </is>
      </c>
    </row>
    <row r="79">
      <c r="A79" s="6" t="n">
        <v>6</v>
      </c>
      <c r="B79" s="6" t="n">
        <v>1</v>
      </c>
      <c r="C79" s="6" t="inlineStr">
        <is>
          <t>⊏ 8×200 ......... 1069.5</t>
        </is>
      </c>
      <c r="D79" s="6" t="inlineStr">
        <is>
          <t>S235JR</t>
        </is>
      </c>
      <c r="E79" s="6" t="n">
        <v>13.4</v>
      </c>
      <c r="F79" s="6" t="n">
        <v>13.4</v>
      </c>
      <c r="G79" s="6" t="inlineStr">
        <is>
          <t>Kesim</t>
        </is>
      </c>
    </row>
    <row r="80">
      <c r="A80" s="4" t="n">
        <v>7</v>
      </c>
      <c r="B80" s="4" t="n">
        <v>1</v>
      </c>
      <c r="C80" s="4" t="inlineStr">
        <is>
          <t>⊏ 8×200 ......... 6603.5</t>
        </is>
      </c>
      <c r="D80" s="4" t="inlineStr">
        <is>
          <t>S235JR</t>
        </is>
      </c>
      <c r="E80" s="4" t="n">
        <v>82.90000000000001</v>
      </c>
      <c r="F80" s="4" t="n">
        <v>82.90000000000001</v>
      </c>
      <c r="G80" s="4" t="inlineStr">
        <is>
          <t>Kesim</t>
        </is>
      </c>
    </row>
    <row r="81">
      <c r="A81" s="6" t="n">
        <v>8</v>
      </c>
      <c r="B81" s="6" t="n">
        <v>1</v>
      </c>
      <c r="C81" s="6" t="inlineStr">
        <is>
          <t>⊏ 8×200 ......... 1002.5</t>
        </is>
      </c>
      <c r="D81" s="6" t="inlineStr">
        <is>
          <t>S235JR</t>
        </is>
      </c>
      <c r="E81" s="6" t="n">
        <v>12.6</v>
      </c>
      <c r="F81" s="6" t="n">
        <v>12.6</v>
      </c>
      <c r="G81" s="6" t="inlineStr">
        <is>
          <t>Kesim</t>
        </is>
      </c>
    </row>
    <row r="82">
      <c r="A82" s="4" t="n">
        <v>9</v>
      </c>
      <c r="B82" s="4" t="n">
        <v>37</v>
      </c>
      <c r="C82" s="4" t="inlineStr">
        <is>
          <t>L60×6 ......... 1079</t>
        </is>
      </c>
      <c r="D82" s="4" t="inlineStr">
        <is>
          <t>S235JR</t>
        </is>
      </c>
      <c r="E82" s="4" t="n">
        <v>5.4</v>
      </c>
      <c r="F82" s="4" t="n">
        <v>248.4</v>
      </c>
      <c r="G82" s="4" t="inlineStr">
        <is>
          <t>Kesim</t>
        </is>
      </c>
    </row>
    <row r="83">
      <c r="A83" s="6" t="n">
        <v>10</v>
      </c>
      <c r="B83" s="6" t="n">
        <v>1</v>
      </c>
      <c r="C83" s="6" t="inlineStr">
        <is>
          <t>⊏ 8×200 ......... 750</t>
        </is>
      </c>
      <c r="D83" s="6" t="inlineStr">
        <is>
          <t>S235JR</t>
        </is>
      </c>
      <c r="E83" s="6" t="n">
        <v>9.4</v>
      </c>
      <c r="F83" s="6" t="n">
        <v>9.4</v>
      </c>
      <c r="G83" s="6" t="inlineStr">
        <is>
          <t>Kesim</t>
        </is>
      </c>
    </row>
    <row r="84">
      <c r="A84" s="4" t="n">
        <v>11</v>
      </c>
      <c r="B84" s="4" t="n">
        <v>1</v>
      </c>
      <c r="C84" s="4" t="inlineStr">
        <is>
          <t>NPU100 ......... 1080</t>
        </is>
      </c>
      <c r="D84" s="4" t="inlineStr">
        <is>
          <t>S235JR</t>
        </is>
      </c>
      <c r="E84" s="4" t="n">
        <v>11.5</v>
      </c>
      <c r="F84" s="4" t="n">
        <v>138</v>
      </c>
      <c r="G84" s="4" t="inlineStr">
        <is>
          <t>Kesim</t>
        </is>
      </c>
    </row>
    <row r="85">
      <c r="A85" s="6" t="n">
        <v>12</v>
      </c>
      <c r="B85" s="6" t="n">
        <v>12</v>
      </c>
      <c r="C85" s="6" t="inlineStr">
        <is>
          <t>NPU100 ......... 1178.5</t>
        </is>
      </c>
      <c r="D85" s="6" t="inlineStr">
        <is>
          <t>S235JR</t>
        </is>
      </c>
      <c r="E85" s="6" t="n">
        <v>12.5</v>
      </c>
      <c r="F85" s="6" t="n">
        <v>150</v>
      </c>
      <c r="G85" s="6" t="inlineStr">
        <is>
          <t>Kesim</t>
        </is>
      </c>
    </row>
    <row r="86">
      <c r="A86" s="4" t="n">
        <v>13</v>
      </c>
      <c r="B86" s="4" t="n">
        <v>24</v>
      </c>
      <c r="C86" s="4" t="inlineStr">
        <is>
          <t>⊏ 8×100 ......... 260</t>
        </is>
      </c>
      <c r="D86" s="4" t="inlineStr">
        <is>
          <t>S355J2</t>
        </is>
      </c>
      <c r="E86" s="4" t="n">
        <v>1.6</v>
      </c>
      <c r="F86" s="4" t="n">
        <v>38.4</v>
      </c>
      <c r="G86" s="4" t="inlineStr">
        <is>
          <t>Kesim</t>
        </is>
      </c>
    </row>
    <row r="87">
      <c r="A87" s="6" t="n">
        <v>14</v>
      </c>
      <c r="B87" s="6" t="n">
        <v>22</v>
      </c>
      <c r="C87" s="6" t="inlineStr">
        <is>
          <t>L60×6 ......... 325.5</t>
        </is>
      </c>
      <c r="D87" s="6" t="inlineStr">
        <is>
          <t>S235JR</t>
        </is>
      </c>
      <c r="E87" s="6" t="n">
        <v>1.7</v>
      </c>
      <c r="F87" s="6" t="n">
        <v>37.4</v>
      </c>
      <c r="G87" s="6" t="inlineStr">
        <is>
          <t>Kesim</t>
        </is>
      </c>
    </row>
    <row r="88">
      <c r="A88" s="4" t="inlineStr">
        <is>
          <t>14A</t>
        </is>
      </c>
      <c r="B88" s="4" t="n">
        <v>2</v>
      </c>
      <c r="C88" s="4" t="inlineStr">
        <is>
          <t>L60×6 ......... 325.5</t>
        </is>
      </c>
      <c r="D88" s="4" t="inlineStr">
        <is>
          <t>S235JR</t>
        </is>
      </c>
      <c r="E88" s="4" t="n">
        <v>1.7</v>
      </c>
      <c r="F88" s="4" t="n">
        <v>3.4</v>
      </c>
      <c r="G88" s="4" t="inlineStr">
        <is>
          <t>Kesim</t>
        </is>
      </c>
    </row>
    <row r="89">
      <c r="A89" s="6" t="n">
        <v>15</v>
      </c>
      <c r="B89" s="6" t="n">
        <v>12</v>
      </c>
      <c r="C89" s="6" t="inlineStr">
        <is>
          <t>⊏ 8×70 ......... 180</t>
        </is>
      </c>
      <c r="D89" s="6" t="inlineStr">
        <is>
          <t>S235JR</t>
        </is>
      </c>
      <c r="E89" s="6" t="n">
        <v>0.8</v>
      </c>
      <c r="F89" s="6" t="n">
        <v>9.6</v>
      </c>
      <c r="G89" s="6" t="inlineStr">
        <is>
          <t>Kesim</t>
        </is>
      </c>
    </row>
    <row r="90">
      <c r="A90" s="4" t="n">
        <v>16</v>
      </c>
      <c r="B90" s="4" t="n">
        <v>2</v>
      </c>
      <c r="C90" s="4" t="inlineStr">
        <is>
          <t>L60×6 ......... 899.5</t>
        </is>
      </c>
      <c r="D90" s="4" t="inlineStr">
        <is>
          <t>S235JR</t>
        </is>
      </c>
      <c r="E90" s="4" t="n">
        <v>4.9</v>
      </c>
      <c r="F90" s="4" t="n">
        <v>9.800000000000001</v>
      </c>
      <c r="G90" s="4" t="inlineStr">
        <is>
          <t>Kesim</t>
        </is>
      </c>
    </row>
    <row r="91">
      <c r="A91" s="6" t="n">
        <v>17</v>
      </c>
      <c r="B91" s="6" t="n">
        <v>4</v>
      </c>
      <c r="C91" s="6" t="inlineStr">
        <is>
          <t>L60×6 ......... 630</t>
        </is>
      </c>
      <c r="D91" s="6" t="inlineStr">
        <is>
          <t>S235JR</t>
        </is>
      </c>
      <c r="E91" s="6" t="n">
        <v>5.4</v>
      </c>
      <c r="F91" s="6" t="n">
        <v>21.6</v>
      </c>
      <c r="G91" s="6" t="inlineStr">
        <is>
          <t>Kesim</t>
        </is>
      </c>
    </row>
    <row r="92">
      <c r="A92" s="4" t="n">
        <v>18</v>
      </c>
      <c r="B92" s="4" t="n">
        <v>2</v>
      </c>
      <c r="C92" s="4" t="inlineStr">
        <is>
          <t>L60×6 ......... 1002.5</t>
        </is>
      </c>
      <c r="D92" s="4" t="inlineStr">
        <is>
          <t>S235JR</t>
        </is>
      </c>
      <c r="E92" s="4" t="n">
        <v>5.5</v>
      </c>
      <c r="F92" s="4" t="n">
        <v>11</v>
      </c>
      <c r="G92" s="4" t="inlineStr">
        <is>
          <t>Kesim</t>
        </is>
      </c>
    </row>
    <row r="93">
      <c r="A93" s="6" t="n">
        <v>19</v>
      </c>
      <c r="B93" s="6" t="n">
        <v>5</v>
      </c>
      <c r="C93" s="6" t="inlineStr">
        <is>
          <t>L60×6 ......... 1238</t>
        </is>
      </c>
      <c r="D93" s="6" t="inlineStr">
        <is>
          <t>S235JR</t>
        </is>
      </c>
      <c r="E93" s="6" t="n">
        <v>5.4</v>
      </c>
      <c r="F93" s="6" t="n">
        <v>27</v>
      </c>
      <c r="G93" s="6" t="inlineStr">
        <is>
          <t>Kesim</t>
        </is>
      </c>
    </row>
    <row r="94">
      <c r="A94" s="4" t="n">
        <v>20</v>
      </c>
      <c r="B94" s="4" t="n">
        <v>26</v>
      </c>
      <c r="C94" s="4" t="inlineStr">
        <is>
          <t>L60×6 ......... 1020</t>
        </is>
      </c>
      <c r="D94" s="4" t="inlineStr">
        <is>
          <t>S235JR</t>
        </is>
      </c>
      <c r="E94" s="4" t="n">
        <v>5.4</v>
      </c>
      <c r="F94" s="4" t="n">
        <v>140.4</v>
      </c>
      <c r="G94" s="4" t="inlineStr">
        <is>
          <t>Kesim</t>
        </is>
      </c>
    </row>
    <row r="95">
      <c r="A95" s="6" t="n">
        <v>21</v>
      </c>
      <c r="B95" s="6" t="n">
        <v>1</v>
      </c>
      <c r="C95" s="6" t="inlineStr">
        <is>
          <t>HANDRAİL (1 1/4" STD.SCH PIPE) 70000</t>
        </is>
      </c>
      <c r="D95" s="6" t="inlineStr">
        <is>
          <t>S235JR</t>
        </is>
      </c>
      <c r="E95" s="6" t="n">
        <v>178.5</v>
      </c>
      <c r="F95" s="6" t="n">
        <v>178.5</v>
      </c>
      <c r="G95" s="6" t="inlineStr">
        <is>
          <t>Kesim+Bükme</t>
        </is>
      </c>
    </row>
    <row r="96">
      <c r="A96" s="4" t="n">
        <v>22</v>
      </c>
      <c r="B96" s="4" t="n">
        <v>1</v>
      </c>
      <c r="C96" s="4" t="inlineStr">
        <is>
          <t>⊏ 5×50 ......... 70000</t>
        </is>
      </c>
      <c r="D96" s="4" t="inlineStr">
        <is>
          <t>S235JR</t>
        </is>
      </c>
      <c r="E96" s="4" t="n">
        <v>137.5</v>
      </c>
      <c r="F96" s="4" t="n">
        <v>137.5</v>
      </c>
      <c r="G96" s="4" t="inlineStr">
        <is>
          <t>Kesim</t>
        </is>
      </c>
    </row>
    <row r="97">
      <c r="A97" s="6" t="n">
        <v>23</v>
      </c>
      <c r="B97" s="6" t="n">
        <v>1</v>
      </c>
      <c r="C97" s="6" t="inlineStr">
        <is>
          <t>⊏ 5×150 ......... 34000</t>
        </is>
      </c>
      <c r="D97" s="6" t="inlineStr">
        <is>
          <t>S235JR</t>
        </is>
      </c>
      <c r="E97" s="6" t="n">
        <v>200</v>
      </c>
      <c r="F97" s="6" t="n">
        <v>200</v>
      </c>
      <c r="G97" s="6" t="inlineStr">
        <is>
          <t>Kesim</t>
        </is>
      </c>
    </row>
    <row r="98">
      <c r="A98" s="4" t="n"/>
      <c r="B98" s="4" t="n">
        <v>48</v>
      </c>
      <c r="C98" s="4" t="inlineStr">
        <is>
          <t>M10×30  BOLT</t>
        </is>
      </c>
      <c r="D98" s="4" t="inlineStr">
        <is>
          <t>A193 GR B7</t>
        </is>
      </c>
      <c r="E98" s="4" t="inlineStr">
        <is>
          <t>–</t>
        </is>
      </c>
      <c r="F98" s="4" t="inlineStr">
        <is>
          <t>–</t>
        </is>
      </c>
      <c r="G98" s="4" t="inlineStr">
        <is>
          <t>Montaj</t>
        </is>
      </c>
    </row>
    <row r="99">
      <c r="A99" s="6" t="n"/>
      <c r="B99" s="6" t="n">
        <v>48</v>
      </c>
      <c r="C99" s="6" t="inlineStr">
        <is>
          <t>M10  NUT</t>
        </is>
      </c>
      <c r="D99" s="6" t="inlineStr">
        <is>
          <t>A194 GR 2H</t>
        </is>
      </c>
      <c r="E99" s="6" t="inlineStr">
        <is>
          <t>–</t>
        </is>
      </c>
      <c r="F99" s="6" t="inlineStr">
        <is>
          <t>–</t>
        </is>
      </c>
      <c r="G99" s="6" t="inlineStr">
        <is>
          <t>Montaj</t>
        </is>
      </c>
    </row>
    <row r="100">
      <c r="A100" s="4" t="n"/>
      <c r="B100" s="4" t="n">
        <v>48</v>
      </c>
      <c r="C100" s="4" t="inlineStr">
        <is>
          <t>M10  WASHER</t>
        </is>
      </c>
      <c r="D100" s="4" t="inlineStr">
        <is>
          <t>A194 GR 2H</t>
        </is>
      </c>
      <c r="E100" s="4" t="inlineStr">
        <is>
          <t>–</t>
        </is>
      </c>
      <c r="F100" s="4" t="inlineStr">
        <is>
          <t>–</t>
        </is>
      </c>
      <c r="G100" s="4" t="inlineStr">
        <is>
          <t>Montaj</t>
        </is>
      </c>
    </row>
    <row r="101">
      <c r="A101" s="6" t="n"/>
      <c r="B101" s="6" t="n">
        <v>136</v>
      </c>
      <c r="C101" s="6" t="inlineStr">
        <is>
          <t>M12×40  BOLT</t>
        </is>
      </c>
      <c r="D101" s="6" t="inlineStr">
        <is>
          <t>A193 GR B7</t>
        </is>
      </c>
      <c r="E101" s="6" t="inlineStr">
        <is>
          <t>–</t>
        </is>
      </c>
      <c r="F101" s="6" t="inlineStr">
        <is>
          <t>–</t>
        </is>
      </c>
      <c r="G101" s="6" t="inlineStr">
        <is>
          <t>Montaj</t>
        </is>
      </c>
    </row>
    <row r="102">
      <c r="A102" s="4" t="n"/>
      <c r="B102" s="4" t="n">
        <v>136</v>
      </c>
      <c r="C102" s="4" t="inlineStr">
        <is>
          <t>M12  NUT</t>
        </is>
      </c>
      <c r="D102" s="4" t="inlineStr">
        <is>
          <t>A194 GR 2H</t>
        </is>
      </c>
      <c r="E102" s="4" t="inlineStr">
        <is>
          <t>–</t>
        </is>
      </c>
      <c r="F102" s="4" t="inlineStr">
        <is>
          <t>–</t>
        </is>
      </c>
      <c r="G102" s="4" t="inlineStr">
        <is>
          <t>Montaj</t>
        </is>
      </c>
    </row>
    <row r="103">
      <c r="A103" s="6" t="n"/>
      <c r="B103" s="6" t="n">
        <v>136</v>
      </c>
      <c r="C103" s="6" t="inlineStr">
        <is>
          <t>M12  WASHER</t>
        </is>
      </c>
      <c r="D103" s="6" t="inlineStr">
        <is>
          <t>A194 GR 2H</t>
        </is>
      </c>
      <c r="E103" s="6" t="inlineStr">
        <is>
          <t>–</t>
        </is>
      </c>
      <c r="F103" s="6" t="inlineStr">
        <is>
          <t>–</t>
        </is>
      </c>
      <c r="G103" s="6" t="inlineStr">
        <is>
          <t>Montaj</t>
        </is>
      </c>
    </row>
    <row r="104">
      <c r="A104" s="8" t="inlineStr">
        <is>
          <t>TOPLAM AĞIRLIK: 1777.0 Kg</t>
        </is>
      </c>
      <c r="F104" s="9" t="n">
        <v>1777</v>
      </c>
      <c r="G104" s="9" t="inlineStr"/>
    </row>
  </sheetData>
  <mergeCells count="11">
    <mergeCell ref="A39:E39"/>
    <mergeCell ref="A1:G1"/>
    <mergeCell ref="A62:E62"/>
    <mergeCell ref="A27:G27"/>
    <mergeCell ref="A104:E104"/>
    <mergeCell ref="A25:E25"/>
    <mergeCell ref="A2:G2"/>
    <mergeCell ref="A72:G72"/>
    <mergeCell ref="A64:G64"/>
    <mergeCell ref="A41:G41"/>
    <mergeCell ref="A70:E7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12" customWidth="1" min="4" max="4"/>
    <col width="10" customWidth="1" min="5" max="5"/>
    <col width="12" customWidth="1" min="6" max="6"/>
    <col width="14" customWidth="1" min="7" max="7"/>
    <col width="16" customWidth="1" min="8" max="8"/>
    <col width="18" customWidth="1" min="9" max="9"/>
  </cols>
  <sheetData>
    <row r="1" ht="24" customHeight="1">
      <c r="A1" s="1" t="inlineStr">
        <is>
          <t>KONİK ÇATI YAPISAL İSKELET MALZEME LİSTESİ  (TOPLAM: 5454.0 kg)</t>
        </is>
      </c>
    </row>
    <row r="2" ht="18" customHeight="1">
      <c r="A2" s="7" t="inlineStr">
        <is>
          <t>CK1  —  UNP240 Rafter  (12 çatım adedi)</t>
        </is>
      </c>
    </row>
    <row r="3" ht="35" customHeight="1">
      <c r="A3" s="2" t="inlineStr">
        <is>
          <t>POZ</t>
        </is>
      </c>
      <c r="B3" s="2" t="inlineStr">
        <is>
          <t>ADET
(1 asm)</t>
        </is>
      </c>
      <c r="C3" s="2" t="inlineStr">
        <is>
          <t>PROFİL / AÇIKLAMA</t>
        </is>
      </c>
      <c r="D3" s="2" t="inlineStr">
        <is>
          <t>MALZEME</t>
        </is>
      </c>
      <c r="E3" s="2" t="inlineStr">
        <is>
          <t>BOY
(mm)</t>
        </is>
      </c>
      <c r="F3" s="2" t="inlineStr">
        <is>
          <t>BİRİM
Kg</t>
        </is>
      </c>
      <c r="G3" s="2" t="inlineStr">
        <is>
          <t>1 ASM
TOPLAM kg</t>
        </is>
      </c>
      <c r="H3" s="2" t="inlineStr">
        <is>
          <t>×12
TOPLAM kg</t>
        </is>
      </c>
      <c r="I3" s="2" t="inlineStr">
        <is>
          <t>İŞLEM</t>
        </is>
      </c>
    </row>
    <row r="4">
      <c r="A4" s="4" t="inlineStr">
        <is>
          <t>P1</t>
        </is>
      </c>
      <c r="B4" s="4" t="n">
        <v>1</v>
      </c>
      <c r="C4" s="4" t="inlineStr">
        <is>
          <t>UNP240</t>
        </is>
      </c>
      <c r="D4" s="4" t="inlineStr">
        <is>
          <t>S235JR</t>
        </is>
      </c>
      <c r="E4" s="4" t="n">
        <v>5685</v>
      </c>
      <c r="F4" s="4" t="n">
        <v>155.5</v>
      </c>
      <c r="G4" s="4" t="n">
        <v>155.5</v>
      </c>
      <c r="H4" s="4" t="n">
        <v>1866</v>
      </c>
      <c r="I4" s="4" t="inlineStr">
        <is>
          <t>Kesim+Kaynak</t>
        </is>
      </c>
    </row>
    <row r="5">
      <c r="A5" s="6" t="inlineStr">
        <is>
          <t>P20</t>
        </is>
      </c>
      <c r="B5" s="6" t="n">
        <v>2</v>
      </c>
      <c r="C5" s="6" t="inlineStr">
        <is>
          <t>PL10×113  Plaka</t>
        </is>
      </c>
      <c r="D5" s="6" t="inlineStr">
        <is>
          <t>S235JR</t>
        </is>
      </c>
      <c r="E5" s="6" t="n">
        <v>221</v>
      </c>
      <c r="F5" s="6" t="n">
        <v>1.8</v>
      </c>
      <c r="G5" s="6" t="n">
        <v>3.6</v>
      </c>
      <c r="H5" s="6" t="n">
        <v>43.2</v>
      </c>
      <c r="I5" s="6" t="inlineStr">
        <is>
          <t>Kesim+Kaynak</t>
        </is>
      </c>
    </row>
    <row r="6">
      <c r="A6" s="4" t="inlineStr">
        <is>
          <t>P21</t>
        </is>
      </c>
      <c r="B6" s="4" t="n">
        <v>2</v>
      </c>
      <c r="C6" s="4" t="inlineStr">
        <is>
          <t>PL10×95   Plaka</t>
        </is>
      </c>
      <c r="D6" s="4" t="inlineStr">
        <is>
          <t>S235JR</t>
        </is>
      </c>
      <c r="E6" s="4" t="n">
        <v>152</v>
      </c>
      <c r="F6" s="4" t="n">
        <v>1.3</v>
      </c>
      <c r="G6" s="4" t="n">
        <v>2.5</v>
      </c>
      <c r="H6" s="4" t="n">
        <v>30</v>
      </c>
      <c r="I6" s="4" t="inlineStr">
        <is>
          <t>Kesim+Kaynak</t>
        </is>
      </c>
    </row>
    <row r="7">
      <c r="A7" s="6" t="inlineStr">
        <is>
          <t>P22</t>
        </is>
      </c>
      <c r="B7" s="6" t="n">
        <v>1</v>
      </c>
      <c r="C7" s="6" t="inlineStr">
        <is>
          <t>PL10×221  Plaka</t>
        </is>
      </c>
      <c r="D7" s="6" t="inlineStr">
        <is>
          <t>S235JR</t>
        </is>
      </c>
      <c r="E7" s="6" t="n">
        <v>193</v>
      </c>
      <c r="F7" s="6" t="n">
        <v>2.7</v>
      </c>
      <c r="G7" s="6" t="n">
        <v>2.7</v>
      </c>
      <c r="H7" s="6" t="n">
        <v>32.4</v>
      </c>
      <c r="I7" s="6" t="inlineStr">
        <is>
          <t>Kesim+Kaynak</t>
        </is>
      </c>
    </row>
    <row r="8">
      <c r="A8" s="4" t="inlineStr">
        <is>
          <t>P23</t>
        </is>
      </c>
      <c r="B8" s="4" t="n">
        <v>1</v>
      </c>
      <c r="C8" s="4" t="inlineStr">
        <is>
          <t>PL10×162  Plaka</t>
        </is>
      </c>
      <c r="D8" s="4" t="inlineStr">
        <is>
          <t>S235JR</t>
        </is>
      </c>
      <c r="E8" s="4" t="n">
        <v>216</v>
      </c>
      <c r="F8" s="4" t="n">
        <v>1.9</v>
      </c>
      <c r="G8" s="4" t="n">
        <v>1.9</v>
      </c>
      <c r="H8" s="4" t="n">
        <v>22.8</v>
      </c>
      <c r="I8" s="4" t="inlineStr">
        <is>
          <t>Kesim+Kaynak</t>
        </is>
      </c>
    </row>
    <row r="9">
      <c r="A9" s="8" t="inlineStr">
        <is>
          <t>ALT TOPLAM  (×12):</t>
        </is>
      </c>
      <c r="H9" s="9" t="n">
        <v>1994.4</v>
      </c>
      <c r="I9" s="9" t="inlineStr"/>
    </row>
    <row r="11" ht="18" customHeight="1">
      <c r="A11" s="7" t="inlineStr">
        <is>
          <t>CK2  —  UNP240 Rafter  (12 çatım adedi)</t>
        </is>
      </c>
    </row>
    <row r="12" ht="35" customHeight="1">
      <c r="A12" s="2" t="inlineStr">
        <is>
          <t>POZ</t>
        </is>
      </c>
      <c r="B12" s="2" t="inlineStr">
        <is>
          <t>ADET
(1 asm)</t>
        </is>
      </c>
      <c r="C12" s="2" t="inlineStr">
        <is>
          <t>PROFİL / AÇIKLAMA</t>
        </is>
      </c>
      <c r="D12" s="2" t="inlineStr">
        <is>
          <t>MALZEME</t>
        </is>
      </c>
      <c r="E12" s="2" t="inlineStr">
        <is>
          <t>BOY
(mm)</t>
        </is>
      </c>
      <c r="F12" s="2" t="inlineStr">
        <is>
          <t>BİRİM
Kg</t>
        </is>
      </c>
      <c r="G12" s="2" t="inlineStr">
        <is>
          <t>1 ASM
TOPLAM kg</t>
        </is>
      </c>
      <c r="H12" s="2" t="inlineStr">
        <is>
          <t>×12
TOPLAM kg</t>
        </is>
      </c>
      <c r="I12" s="2" t="inlineStr">
        <is>
          <t>İŞLEM</t>
        </is>
      </c>
    </row>
    <row r="13">
      <c r="A13" s="4" t="inlineStr">
        <is>
          <t>P1</t>
        </is>
      </c>
      <c r="B13" s="4" t="n">
        <v>1</v>
      </c>
      <c r="C13" s="4" t="inlineStr">
        <is>
          <t>UNP240</t>
        </is>
      </c>
      <c r="D13" s="4" t="inlineStr">
        <is>
          <t>S235JR</t>
        </is>
      </c>
      <c r="E13" s="4" t="n">
        <v>5685</v>
      </c>
      <c r="F13" s="4" t="n">
        <v>155.5</v>
      </c>
      <c r="G13" s="4" t="n">
        <v>155.5</v>
      </c>
      <c r="H13" s="4" t="n">
        <v>1866</v>
      </c>
      <c r="I13" s="4" t="inlineStr">
        <is>
          <t>Kesim+Kaynak</t>
        </is>
      </c>
    </row>
    <row r="14">
      <c r="A14" s="6" t="inlineStr">
        <is>
          <t>P20</t>
        </is>
      </c>
      <c r="B14" s="6" t="n">
        <v>2</v>
      </c>
      <c r="C14" s="6" t="inlineStr">
        <is>
          <t>PL10×113  Plaka</t>
        </is>
      </c>
      <c r="D14" s="6" t="inlineStr">
        <is>
          <t>S235JR</t>
        </is>
      </c>
      <c r="E14" s="6" t="n">
        <v>221</v>
      </c>
      <c r="F14" s="6" t="n">
        <v>1.8</v>
      </c>
      <c r="G14" s="6" t="n">
        <v>3.6</v>
      </c>
      <c r="H14" s="6" t="n">
        <v>43.2</v>
      </c>
      <c r="I14" s="6" t="inlineStr">
        <is>
          <t>Kesim+Kaynak</t>
        </is>
      </c>
    </row>
    <row r="15">
      <c r="A15" s="4" t="inlineStr">
        <is>
          <t>P21</t>
        </is>
      </c>
      <c r="B15" s="4" t="n">
        <v>2</v>
      </c>
      <c r="C15" s="4" t="inlineStr">
        <is>
          <t>PL10×95   Plaka</t>
        </is>
      </c>
      <c r="D15" s="4" t="inlineStr">
        <is>
          <t>S235JR</t>
        </is>
      </c>
      <c r="E15" s="4" t="n">
        <v>152</v>
      </c>
      <c r="F15" s="4" t="n">
        <v>1.3</v>
      </c>
      <c r="G15" s="4" t="n">
        <v>2.5</v>
      </c>
      <c r="H15" s="4" t="n">
        <v>30</v>
      </c>
      <c r="I15" s="4" t="inlineStr">
        <is>
          <t>Kesim+Kaynak</t>
        </is>
      </c>
    </row>
    <row r="16">
      <c r="A16" s="6" t="inlineStr">
        <is>
          <t>P24</t>
        </is>
      </c>
      <c r="B16" s="6" t="n">
        <v>1</v>
      </c>
      <c r="C16" s="6" t="inlineStr">
        <is>
          <t>PL10×189  Plaka</t>
        </is>
      </c>
      <c r="D16" s="6" t="inlineStr">
        <is>
          <t>S235JR</t>
        </is>
      </c>
      <c r="E16" s="6" t="n">
        <v>232</v>
      </c>
      <c r="F16" s="6" t="n">
        <v>2.5</v>
      </c>
      <c r="G16" s="6" t="n">
        <v>2.5</v>
      </c>
      <c r="H16" s="6" t="n">
        <v>30</v>
      </c>
      <c r="I16" s="6" t="inlineStr">
        <is>
          <t>Kesim+Kaynak</t>
        </is>
      </c>
    </row>
    <row r="17">
      <c r="A17" s="4" t="inlineStr">
        <is>
          <t>P25</t>
        </is>
      </c>
      <c r="B17" s="4" t="n">
        <v>1</v>
      </c>
      <c r="C17" s="4" t="inlineStr">
        <is>
          <t>PL10×139  Plaka</t>
        </is>
      </c>
      <c r="D17" s="4" t="inlineStr">
        <is>
          <t>S235JR</t>
        </is>
      </c>
      <c r="E17" s="4" t="n">
        <v>244</v>
      </c>
      <c r="F17" s="4" t="n">
        <v>2</v>
      </c>
      <c r="G17" s="4" t="n">
        <v>2</v>
      </c>
      <c r="H17" s="4" t="n">
        <v>24</v>
      </c>
      <c r="I17" s="4" t="inlineStr">
        <is>
          <t>Kesim+Kaynak</t>
        </is>
      </c>
    </row>
    <row r="18">
      <c r="A18" s="8" t="inlineStr">
        <is>
          <t>ALT TOPLAM  (×12):</t>
        </is>
      </c>
      <c r="H18" s="9" t="n">
        <v>1993.2</v>
      </c>
      <c r="I18" s="9" t="inlineStr"/>
    </row>
    <row r="20" ht="18" customHeight="1">
      <c r="A20" s="7" t="inlineStr">
        <is>
          <t>CK3  —  UNP200 Purlin  (24 adet)</t>
        </is>
      </c>
    </row>
    <row r="21" ht="35" customHeight="1">
      <c r="A21" s="2" t="inlineStr">
        <is>
          <t>POZ</t>
        </is>
      </c>
      <c r="B21" s="2" t="inlineStr">
        <is>
          <t>ADET
(1 asm)</t>
        </is>
      </c>
      <c r="C21" s="2" t="inlineStr">
        <is>
          <t>PROFİL / AÇIKLAMA</t>
        </is>
      </c>
      <c r="D21" s="2" t="inlineStr">
        <is>
          <t>MALZEME</t>
        </is>
      </c>
      <c r="E21" s="2" t="inlineStr">
        <is>
          <t>BOY
(mm)</t>
        </is>
      </c>
      <c r="F21" s="2" t="inlineStr">
        <is>
          <t>BİRİM
Kg</t>
        </is>
      </c>
      <c r="G21" s="2" t="inlineStr">
        <is>
          <t>1 ASM
TOPLAM kg</t>
        </is>
      </c>
      <c r="H21" s="2" t="inlineStr">
        <is>
          <t>×24
TOPLAM kg</t>
        </is>
      </c>
      <c r="I21" s="2" t="inlineStr">
        <is>
          <t>İŞLEM</t>
        </is>
      </c>
    </row>
    <row r="22">
      <c r="A22" s="4" t="inlineStr">
        <is>
          <t>P5</t>
        </is>
      </c>
      <c r="B22" s="4" t="n">
        <v>1</v>
      </c>
      <c r="C22" s="4" t="inlineStr">
        <is>
          <t>UNP200</t>
        </is>
      </c>
      <c r="D22" s="4" t="inlineStr">
        <is>
          <t>S235JR</t>
        </is>
      </c>
      <c r="E22" s="4" t="n">
        <v>1227</v>
      </c>
      <c r="F22" s="4" t="n">
        <v>31</v>
      </c>
      <c r="G22" s="4" t="n">
        <v>31</v>
      </c>
      <c r="H22" s="4" t="n">
        <v>744</v>
      </c>
      <c r="I22" s="4" t="inlineStr">
        <is>
          <t>Kesim+Kaynak</t>
        </is>
      </c>
    </row>
    <row r="23">
      <c r="A23" s="8" t="inlineStr">
        <is>
          <t>ALT TOPLAM  (×24):</t>
        </is>
      </c>
      <c r="H23" s="9" t="n">
        <v>744</v>
      </c>
      <c r="I23" s="9" t="inlineStr"/>
    </row>
    <row r="25" ht="18" customHeight="1">
      <c r="A25" s="7" t="inlineStr">
        <is>
          <t>CK4  —  UNP200 Purlin  (24 adet)</t>
        </is>
      </c>
    </row>
    <row r="26" ht="35" customHeight="1">
      <c r="A26" s="2" t="inlineStr">
        <is>
          <t>POZ</t>
        </is>
      </c>
      <c r="B26" s="2" t="inlineStr">
        <is>
          <t>ADET
(1 asm)</t>
        </is>
      </c>
      <c r="C26" s="2" t="inlineStr">
        <is>
          <t>PROFİL / AÇIKLAMA</t>
        </is>
      </c>
      <c r="D26" s="2" t="inlineStr">
        <is>
          <t>MALZEME</t>
        </is>
      </c>
      <c r="E26" s="2" t="inlineStr">
        <is>
          <t>BOY
(mm)</t>
        </is>
      </c>
      <c r="F26" s="2" t="inlineStr">
        <is>
          <t>BİRİM
Kg</t>
        </is>
      </c>
      <c r="G26" s="2" t="inlineStr">
        <is>
          <t>1 ASM
TOPLAM kg</t>
        </is>
      </c>
      <c r="H26" s="2" t="inlineStr">
        <is>
          <t>×24
TOPLAM kg</t>
        </is>
      </c>
      <c r="I26" s="2" t="inlineStr">
        <is>
          <t>İŞLEM</t>
        </is>
      </c>
    </row>
    <row r="27">
      <c r="A27" s="4" t="inlineStr">
        <is>
          <t>P6</t>
        </is>
      </c>
      <c r="B27" s="4" t="n">
        <v>1</v>
      </c>
      <c r="C27" s="4" t="inlineStr">
        <is>
          <t>UNP200</t>
        </is>
      </c>
      <c r="D27" s="4" t="inlineStr">
        <is>
          <t>S235JR</t>
        </is>
      </c>
      <c r="E27" s="4" t="n">
        <v>677</v>
      </c>
      <c r="F27" s="4" t="n">
        <v>17.1</v>
      </c>
      <c r="G27" s="4" t="n">
        <v>17.1</v>
      </c>
      <c r="H27" s="4" t="n">
        <v>410.4</v>
      </c>
      <c r="I27" s="4" t="inlineStr">
        <is>
          <t>Kesim+Kaynak</t>
        </is>
      </c>
    </row>
    <row r="28">
      <c r="A28" s="8" t="inlineStr">
        <is>
          <t>ALT TOPLAM  (×24):</t>
        </is>
      </c>
      <c r="H28" s="9" t="n">
        <v>410.4</v>
      </c>
      <c r="I28" s="9" t="inlineStr"/>
    </row>
    <row r="30" ht="18" customHeight="1">
      <c r="A30" s="7" t="inlineStr">
        <is>
          <t>KL1  —  Merkezi Kolon PIP 323.9×8  (1 adet)</t>
        </is>
      </c>
    </row>
    <row r="31" ht="35" customHeight="1">
      <c r="A31" s="2" t="inlineStr">
        <is>
          <t>POZ</t>
        </is>
      </c>
      <c r="B31" s="2" t="inlineStr">
        <is>
          <t>ADET
(1 asm)</t>
        </is>
      </c>
      <c r="C31" s="2" t="inlineStr">
        <is>
          <t>PROFİL / AÇIKLAMA</t>
        </is>
      </c>
      <c r="D31" s="2" t="inlineStr">
        <is>
          <t>MALZEME</t>
        </is>
      </c>
      <c r="E31" s="2" t="inlineStr">
        <is>
          <t>BOY
(mm)</t>
        </is>
      </c>
      <c r="F31" s="2" t="inlineStr">
        <is>
          <t>BİRİM
Kg</t>
        </is>
      </c>
      <c r="G31" s="2" t="inlineStr">
        <is>
          <t>1 ASM
TOPLAM kg</t>
        </is>
      </c>
      <c r="H31" s="2" t="inlineStr">
        <is>
          <t>×1
TOPLAM kg</t>
        </is>
      </c>
      <c r="I31" s="2" t="inlineStr">
        <is>
          <t>İŞLEM</t>
        </is>
      </c>
    </row>
    <row r="32">
      <c r="A32" s="4" t="inlineStr">
        <is>
          <t>P2</t>
        </is>
      </c>
      <c r="B32" s="4" t="n">
        <v>1</v>
      </c>
      <c r="C32" s="4" t="inlineStr">
        <is>
          <t>PIP 323.9×8  Boru</t>
        </is>
      </c>
      <c r="D32" s="4" t="inlineStr">
        <is>
          <t>S235JR</t>
        </is>
      </c>
      <c r="E32" s="4" t="n">
        <v>9369</v>
      </c>
      <c r="F32" s="4" t="n">
        <v>580.2</v>
      </c>
      <c r="G32" s="4" t="n">
        <v>580.2</v>
      </c>
      <c r="H32" s="4" t="n">
        <v>580.2</v>
      </c>
      <c r="I32" s="4" t="inlineStr">
        <is>
          <t>Kesim+Kaynak</t>
        </is>
      </c>
    </row>
    <row r="33">
      <c r="A33" s="6" t="inlineStr">
        <is>
          <t>P9</t>
        </is>
      </c>
      <c r="B33" s="6" t="n">
        <v>1</v>
      </c>
      <c r="C33" s="6" t="inlineStr">
        <is>
          <t>PL25×1800  Plaka</t>
        </is>
      </c>
      <c r="D33" s="6" t="inlineStr">
        <is>
          <t>S235JR</t>
        </is>
      </c>
      <c r="E33" s="6" t="n">
        <v>1800</v>
      </c>
      <c r="F33" s="6" t="n">
        <v>497.3</v>
      </c>
      <c r="G33" s="6" t="n">
        <v>497.3</v>
      </c>
      <c r="H33" s="6" t="n">
        <v>497.3</v>
      </c>
      <c r="I33" s="6" t="inlineStr">
        <is>
          <t>Kesim+Kaynak</t>
        </is>
      </c>
    </row>
    <row r="34">
      <c r="A34" s="4" t="inlineStr">
        <is>
          <t>P10</t>
        </is>
      </c>
      <c r="B34" s="4" t="n">
        <v>1</v>
      </c>
      <c r="C34" s="4" t="inlineStr">
        <is>
          <t>PL15×250   Plaka</t>
        </is>
      </c>
      <c r="D34" s="4" t="inlineStr">
        <is>
          <t>S235JR</t>
        </is>
      </c>
      <c r="E34" s="4" t="n">
        <v>4618</v>
      </c>
      <c r="F34" s="4" t="n">
        <v>137.1</v>
      </c>
      <c r="G34" s="4" t="n">
        <v>137.1</v>
      </c>
      <c r="H34" s="4" t="n">
        <v>137.1</v>
      </c>
      <c r="I34" s="4" t="inlineStr">
        <is>
          <t>Kesim+Kaynak</t>
        </is>
      </c>
    </row>
    <row r="35">
      <c r="A35" s="6" t="inlineStr">
        <is>
          <t>P11</t>
        </is>
      </c>
      <c r="B35" s="6" t="n">
        <v>1</v>
      </c>
      <c r="C35" s="6" t="inlineStr">
        <is>
          <t>PL10×200   Plaka</t>
        </is>
      </c>
      <c r="D35" s="6" t="inlineStr">
        <is>
          <t>S235JR</t>
        </is>
      </c>
      <c r="E35" s="6" t="n">
        <v>5341</v>
      </c>
      <c r="F35" s="6" t="n">
        <v>84.2</v>
      </c>
      <c r="G35" s="6" t="n">
        <v>84.2</v>
      </c>
      <c r="H35" s="6" t="n">
        <v>84.2</v>
      </c>
      <c r="I35" s="6" t="inlineStr">
        <is>
          <t>Kesim+Kaynak</t>
        </is>
      </c>
    </row>
    <row r="36">
      <c r="A36" s="4" t="inlineStr">
        <is>
          <t>P12</t>
        </is>
      </c>
      <c r="B36" s="4" t="n">
        <v>1</v>
      </c>
      <c r="C36" s="4" t="inlineStr">
        <is>
          <t>PL25×750   Plaka</t>
        </is>
      </c>
      <c r="D36" s="4" t="inlineStr">
        <is>
          <t>S235JR</t>
        </is>
      </c>
      <c r="E36" s="4" t="n">
        <v>750</v>
      </c>
      <c r="F36" s="4" t="n">
        <v>56</v>
      </c>
      <c r="G36" s="4" t="n">
        <v>56</v>
      </c>
      <c r="H36" s="4" t="n">
        <v>56</v>
      </c>
      <c r="I36" s="4" t="inlineStr">
        <is>
          <t>Kesim+Kaynak</t>
        </is>
      </c>
    </row>
    <row r="37">
      <c r="A37" s="6" t="inlineStr">
        <is>
          <t>P16</t>
        </is>
      </c>
      <c r="B37" s="6" t="n">
        <v>24</v>
      </c>
      <c r="C37" s="6" t="inlineStr">
        <is>
          <t>PL10×150   Plaka</t>
        </is>
      </c>
      <c r="D37" s="6" t="inlineStr">
        <is>
          <t>S235JR</t>
        </is>
      </c>
      <c r="E37" s="6" t="n">
        <v>250</v>
      </c>
      <c r="F37" s="6" t="n">
        <v>2.3</v>
      </c>
      <c r="G37" s="6" t="n">
        <v>55.3</v>
      </c>
      <c r="H37" s="6" t="n">
        <v>55.3</v>
      </c>
      <c r="I37" s="6" t="inlineStr">
        <is>
          <t>Kesim+Kaynak</t>
        </is>
      </c>
    </row>
    <row r="38">
      <c r="A38" s="4" t="inlineStr">
        <is>
          <t>P17</t>
        </is>
      </c>
      <c r="B38" s="4" t="n">
        <v>4</v>
      </c>
      <c r="C38" s="4" t="inlineStr">
        <is>
          <t>PL10×513   Plaka</t>
        </is>
      </c>
      <c r="D38" s="4" t="inlineStr">
        <is>
          <t>S235JR</t>
        </is>
      </c>
      <c r="E38" s="4" t="n">
        <v>675</v>
      </c>
      <c r="F38" s="4" t="n">
        <v>13.3</v>
      </c>
      <c r="G38" s="4" t="n">
        <v>53.2</v>
      </c>
      <c r="H38" s="4" t="n">
        <v>53.2</v>
      </c>
      <c r="I38" s="4" t="inlineStr">
        <is>
          <t>Kesim+Kaynak</t>
        </is>
      </c>
    </row>
    <row r="39">
      <c r="A39" s="6" t="inlineStr">
        <is>
          <t>P18</t>
        </is>
      </c>
      <c r="B39" s="6" t="n">
        <v>1</v>
      </c>
      <c r="C39" s="6" t="inlineStr">
        <is>
          <t>PL20×600   Plaka</t>
        </is>
      </c>
      <c r="D39" s="6" t="inlineStr">
        <is>
          <t>S235JR</t>
        </is>
      </c>
      <c r="E39" s="6" t="n">
        <v>600</v>
      </c>
      <c r="F39" s="6" t="n">
        <v>43.9</v>
      </c>
      <c r="G39" s="6" t="n">
        <v>43.9</v>
      </c>
      <c r="H39" s="6" t="n">
        <v>43.9</v>
      </c>
      <c r="I39" s="6" t="inlineStr">
        <is>
          <t>Kesim+Kaynak</t>
        </is>
      </c>
    </row>
    <row r="40">
      <c r="A40" s="8" t="inlineStr">
        <is>
          <t>ALT TOPLAM  (×1):</t>
        </is>
      </c>
      <c r="H40" s="9" t="n">
        <v>1507.2</v>
      </c>
      <c r="I40" s="9" t="inlineStr"/>
    </row>
    <row r="42" ht="18" customHeight="1">
      <c r="A42" s="7" t="inlineStr">
        <is>
          <t>W1  —  Ayak Gusset Grubu  (24 adet)</t>
        </is>
      </c>
    </row>
    <row r="43" ht="35" customHeight="1">
      <c r="A43" s="2" t="inlineStr">
        <is>
          <t>POZ</t>
        </is>
      </c>
      <c r="B43" s="2" t="inlineStr">
        <is>
          <t>ADET
(1 asm)</t>
        </is>
      </c>
      <c r="C43" s="2" t="inlineStr">
        <is>
          <t>PROFİL / AÇIKLAMA</t>
        </is>
      </c>
      <c r="D43" s="2" t="inlineStr">
        <is>
          <t>MALZEME</t>
        </is>
      </c>
      <c r="E43" s="2" t="inlineStr">
        <is>
          <t>BOY
(mm)</t>
        </is>
      </c>
      <c r="F43" s="2" t="inlineStr">
        <is>
          <t>BİRİM
Kg</t>
        </is>
      </c>
      <c r="G43" s="2" t="inlineStr">
        <is>
          <t>1 ASM
TOPLAM kg</t>
        </is>
      </c>
      <c r="H43" s="2" t="inlineStr">
        <is>
          <t>×24
TOPLAM kg</t>
        </is>
      </c>
      <c r="I43" s="2" t="inlineStr">
        <is>
          <t>İŞLEM</t>
        </is>
      </c>
    </row>
    <row r="44">
      <c r="A44" s="4" t="inlineStr">
        <is>
          <t>P3</t>
        </is>
      </c>
      <c r="B44" s="4" t="n">
        <v>1</v>
      </c>
      <c r="C44" s="4" t="inlineStr">
        <is>
          <t>PL10×300  Plaka</t>
        </is>
      </c>
      <c r="D44" s="4" t="inlineStr">
        <is>
          <t>S235JR</t>
        </is>
      </c>
      <c r="E44" s="4" t="n">
        <v>300</v>
      </c>
      <c r="F44" s="4" t="n">
        <v>7.1</v>
      </c>
      <c r="G44" s="4" t="n">
        <v>7.1</v>
      </c>
      <c r="H44" s="4" t="n">
        <v>170.4</v>
      </c>
      <c r="I44" s="4" t="inlineStr">
        <is>
          <t>Kesim+Kaynak</t>
        </is>
      </c>
    </row>
    <row r="45">
      <c r="A45" s="6" t="inlineStr">
        <is>
          <t>P13</t>
        </is>
      </c>
      <c r="B45" s="6" t="n">
        <v>1</v>
      </c>
      <c r="C45" s="6" t="inlineStr">
        <is>
          <t>PL10×200  Plaka</t>
        </is>
      </c>
      <c r="D45" s="6" t="inlineStr">
        <is>
          <t>S235JR</t>
        </is>
      </c>
      <c r="E45" s="6" t="n">
        <v>250</v>
      </c>
      <c r="F45" s="6" t="n">
        <v>3.9</v>
      </c>
      <c r="G45" s="6" t="n">
        <v>3.9</v>
      </c>
      <c r="H45" s="6" t="n">
        <v>93.59999999999999</v>
      </c>
      <c r="I45" s="6" t="inlineStr">
        <is>
          <t>Kesim+Kaynak</t>
        </is>
      </c>
    </row>
    <row r="46">
      <c r="A46" s="4" t="inlineStr">
        <is>
          <t>P14</t>
        </is>
      </c>
      <c r="B46" s="4" t="n">
        <v>1</v>
      </c>
      <c r="C46" s="4" t="inlineStr">
        <is>
          <t>PL10×200  Plaka</t>
        </is>
      </c>
      <c r="D46" s="4" t="inlineStr">
        <is>
          <t>S235JR</t>
        </is>
      </c>
      <c r="E46" s="4" t="n">
        <v>100</v>
      </c>
      <c r="F46" s="4" t="n">
        <v>1.6</v>
      </c>
      <c r="G46" s="4" t="n">
        <v>1.6</v>
      </c>
      <c r="H46" s="4" t="n">
        <v>38.4</v>
      </c>
      <c r="I46" s="4" t="inlineStr">
        <is>
          <t>Kesim+Kaynak</t>
        </is>
      </c>
    </row>
    <row r="47">
      <c r="A47" s="6" t="inlineStr">
        <is>
          <t>P15</t>
        </is>
      </c>
      <c r="B47" s="6" t="n">
        <v>1</v>
      </c>
      <c r="C47" s="6" t="inlineStr">
        <is>
          <t>PL10×248  Plaka</t>
        </is>
      </c>
      <c r="D47" s="6" t="inlineStr">
        <is>
          <t>S235JR</t>
        </is>
      </c>
      <c r="E47" s="6" t="n">
        <v>299</v>
      </c>
      <c r="F47" s="6" t="n">
        <v>4.2</v>
      </c>
      <c r="G47" s="6" t="n">
        <v>4.2</v>
      </c>
      <c r="H47" s="6" t="n">
        <v>100.8</v>
      </c>
      <c r="I47" s="6" t="inlineStr">
        <is>
          <t>Kesim+Kaynak</t>
        </is>
      </c>
    </row>
    <row r="48">
      <c r="A48" s="8" t="inlineStr">
        <is>
          <t>ALT TOPLAM  (×24):</t>
        </is>
      </c>
      <c r="H48" s="9" t="n">
        <v>403.2</v>
      </c>
      <c r="I48" s="9" t="inlineStr"/>
    </row>
    <row r="50" ht="18" customHeight="1">
      <c r="A50" s="7" t="inlineStr">
        <is>
          <t>W2  —  Üst Halka Plakası  (1 adet)</t>
        </is>
      </c>
    </row>
    <row r="51" ht="35" customHeight="1">
      <c r="A51" s="2" t="inlineStr">
        <is>
          <t>POZ</t>
        </is>
      </c>
      <c r="B51" s="2" t="inlineStr">
        <is>
          <t>ADET
(1 asm)</t>
        </is>
      </c>
      <c r="C51" s="2" t="inlineStr">
        <is>
          <t>PROFİL / AÇIKLAMA</t>
        </is>
      </c>
      <c r="D51" s="2" t="inlineStr">
        <is>
          <t>MALZEME</t>
        </is>
      </c>
      <c r="E51" s="2" t="inlineStr">
        <is>
          <t>BOY
(mm)</t>
        </is>
      </c>
      <c r="F51" s="2" t="inlineStr">
        <is>
          <t>BİRİM
Kg</t>
        </is>
      </c>
      <c r="G51" s="2" t="inlineStr">
        <is>
          <t>1 ASM
TOPLAM kg</t>
        </is>
      </c>
      <c r="H51" s="2" t="inlineStr">
        <is>
          <t>×1
TOPLAM kg</t>
        </is>
      </c>
      <c r="I51" s="2" t="inlineStr">
        <is>
          <t>İŞLEM</t>
        </is>
      </c>
    </row>
    <row r="52">
      <c r="A52" s="4" t="inlineStr">
        <is>
          <t>P4</t>
        </is>
      </c>
      <c r="B52" s="4" t="n">
        <v>1</v>
      </c>
      <c r="C52" s="4" t="inlineStr">
        <is>
          <t>PL15×750  Plaka</t>
        </is>
      </c>
      <c r="D52" s="4" t="inlineStr">
        <is>
          <t>S235JR</t>
        </is>
      </c>
      <c r="E52" s="4" t="n">
        <v>750</v>
      </c>
      <c r="F52" s="4" t="n">
        <v>51.6</v>
      </c>
      <c r="G52" s="4" t="n">
        <v>51.6</v>
      </c>
      <c r="H52" s="4" t="n">
        <v>51.6</v>
      </c>
      <c r="I52" s="4" t="inlineStr">
        <is>
          <t>Kesim+Kaynak</t>
        </is>
      </c>
    </row>
    <row r="53">
      <c r="A53" s="6" t="inlineStr">
        <is>
          <t>P19</t>
        </is>
      </c>
      <c r="B53" s="6" t="n">
        <v>1</v>
      </c>
      <c r="C53" s="6" t="inlineStr">
        <is>
          <t>PL15×100  Plaka</t>
        </is>
      </c>
      <c r="D53" s="6" t="inlineStr">
        <is>
          <t>S235JR</t>
        </is>
      </c>
      <c r="E53" s="6" t="n">
        <v>1916</v>
      </c>
      <c r="F53" s="6" t="n">
        <v>23</v>
      </c>
      <c r="G53" s="6" t="n">
        <v>23</v>
      </c>
      <c r="H53" s="6" t="n">
        <v>23</v>
      </c>
      <c r="I53" s="6" t="inlineStr">
        <is>
          <t>Kesim+Kaynak</t>
        </is>
      </c>
    </row>
    <row r="54">
      <c r="A54" s="8" t="inlineStr">
        <is>
          <t>ALT TOPLAM  (×1):</t>
        </is>
      </c>
      <c r="H54" s="9" t="n">
        <v>74.59999999999999</v>
      </c>
      <c r="I54" s="9" t="inlineStr"/>
    </row>
    <row r="56" ht="18" customHeight="1">
      <c r="A56" s="7" t="inlineStr">
        <is>
          <t>YC1  —  Yatay Çelik 1  (12 adet)</t>
        </is>
      </c>
    </row>
    <row r="57" ht="35" customHeight="1">
      <c r="A57" s="2" t="inlineStr">
        <is>
          <t>POZ</t>
        </is>
      </c>
      <c r="B57" s="2" t="inlineStr">
        <is>
          <t>ADET
(1 asm)</t>
        </is>
      </c>
      <c r="C57" s="2" t="inlineStr">
        <is>
          <t>PROFİL / AÇIKLAMA</t>
        </is>
      </c>
      <c r="D57" s="2" t="inlineStr">
        <is>
          <t>MALZEME</t>
        </is>
      </c>
      <c r="E57" s="2" t="inlineStr">
        <is>
          <t>BOY
(mm)</t>
        </is>
      </c>
      <c r="F57" s="2" t="inlineStr">
        <is>
          <t>BİRİM
Kg</t>
        </is>
      </c>
      <c r="G57" s="2" t="inlineStr">
        <is>
          <t>1 ASM
TOPLAM kg</t>
        </is>
      </c>
      <c r="H57" s="2" t="inlineStr">
        <is>
          <t>×12
TOPLAM kg</t>
        </is>
      </c>
      <c r="I57" s="2" t="inlineStr">
        <is>
          <t>İŞLEM</t>
        </is>
      </c>
    </row>
    <row r="58">
      <c r="A58" s="4" t="inlineStr">
        <is>
          <t>P7</t>
        </is>
      </c>
      <c r="B58" s="4" t="n">
        <v>1</v>
      </c>
      <c r="C58" s="4" t="inlineStr">
        <is>
          <t>L60×5  Köşebent</t>
        </is>
      </c>
      <c r="D58" s="4" t="inlineStr">
        <is>
          <t>S235JR</t>
        </is>
      </c>
      <c r="E58" s="4" t="n">
        <v>1931</v>
      </c>
      <c r="F58" s="4" t="n">
        <v>15.6</v>
      </c>
      <c r="G58" s="4" t="n">
        <v>15.6</v>
      </c>
      <c r="H58" s="4" t="n">
        <v>187.2</v>
      </c>
      <c r="I58" s="4" t="inlineStr">
        <is>
          <t>Kesim+Kaynak</t>
        </is>
      </c>
    </row>
    <row r="59">
      <c r="A59" s="8" t="inlineStr">
        <is>
          <t>ALT TOPLAM  (×12):</t>
        </is>
      </c>
      <c r="H59" s="9" t="n">
        <v>187.2</v>
      </c>
      <c r="I59" s="9" t="inlineStr"/>
    </row>
    <row r="61" ht="18" customHeight="1">
      <c r="A61" s="7" t="inlineStr">
        <is>
          <t>YC2  —  Yatay Çelik 2  (12 adet)</t>
        </is>
      </c>
    </row>
    <row r="62" ht="35" customHeight="1">
      <c r="A62" s="2" t="inlineStr">
        <is>
          <t>POZ</t>
        </is>
      </c>
      <c r="B62" s="2" t="inlineStr">
        <is>
          <t>ADET
(1 asm)</t>
        </is>
      </c>
      <c r="C62" s="2" t="inlineStr">
        <is>
          <t>PROFİL / AÇIKLAMA</t>
        </is>
      </c>
      <c r="D62" s="2" t="inlineStr">
        <is>
          <t>MALZEME</t>
        </is>
      </c>
      <c r="E62" s="2" t="inlineStr">
        <is>
          <t>BOY
(mm)</t>
        </is>
      </c>
      <c r="F62" s="2" t="inlineStr">
        <is>
          <t>BİRİM
Kg</t>
        </is>
      </c>
      <c r="G62" s="2" t="inlineStr">
        <is>
          <t>1 ASM
TOPLAM kg</t>
        </is>
      </c>
      <c r="H62" s="2" t="inlineStr">
        <is>
          <t>×12
TOPLAM kg</t>
        </is>
      </c>
      <c r="I62" s="2" t="inlineStr">
        <is>
          <t>İŞLEM</t>
        </is>
      </c>
    </row>
    <row r="63">
      <c r="A63" s="4" t="inlineStr">
        <is>
          <t>P8</t>
        </is>
      </c>
      <c r="B63" s="4" t="n">
        <v>1</v>
      </c>
      <c r="C63" s="4" t="inlineStr">
        <is>
          <t>L60×5  Köşebent</t>
        </is>
      </c>
      <c r="D63" s="4" t="inlineStr">
        <is>
          <t>S235JR</t>
        </is>
      </c>
      <c r="E63" s="4" t="n">
        <v>1954</v>
      </c>
      <c r="F63" s="4" t="n">
        <v>19.2</v>
      </c>
      <c r="G63" s="4" t="n">
        <v>19.2</v>
      </c>
      <c r="H63" s="4" t="n">
        <v>230.4</v>
      </c>
      <c r="I63" s="4" t="inlineStr">
        <is>
          <t>Kesim+Kaynak</t>
        </is>
      </c>
    </row>
    <row r="64">
      <c r="A64" s="8" t="inlineStr">
        <is>
          <t>ALT TOPLAM  (×12):</t>
        </is>
      </c>
      <c r="H64" s="9" t="n">
        <v>230.4</v>
      </c>
      <c r="I64" s="9" t="inlineStr"/>
    </row>
    <row r="66">
      <c r="A66" s="10" t="inlineStr">
        <is>
          <t>NOT: Çizimden alınan TOPLAM AĞIRLIK = 5454.0 Kg  (1 komple çatı iskeleti için verilmiştir).</t>
        </is>
      </c>
    </row>
  </sheetData>
  <mergeCells count="20">
    <mergeCell ref="A25:I25"/>
    <mergeCell ref="A66:I66"/>
    <mergeCell ref="A56:I56"/>
    <mergeCell ref="A50:I50"/>
    <mergeCell ref="A28:G28"/>
    <mergeCell ref="A2:I2"/>
    <mergeCell ref="A40:G40"/>
    <mergeCell ref="A9:G9"/>
    <mergeCell ref="A42:I42"/>
    <mergeCell ref="A48:G48"/>
    <mergeCell ref="A64:G64"/>
    <mergeCell ref="A59:G59"/>
    <mergeCell ref="A20:I20"/>
    <mergeCell ref="A54:G54"/>
    <mergeCell ref="A30:I30"/>
    <mergeCell ref="A11:I11"/>
    <mergeCell ref="A18:G18"/>
    <mergeCell ref="A1:I1"/>
    <mergeCell ref="A61:I61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0" customWidth="1" min="4" max="4"/>
    <col width="16" customWidth="1" min="5" max="5"/>
    <col width="24" customWidth="1" min="6" max="6"/>
  </cols>
  <sheetData>
    <row r="1" ht="24" customHeight="1">
      <c r="A1" s="1" t="inlineStr">
        <is>
          <t>7000 Bbl ÜRETİM TANKI  —  TOPLAM AĞIRLIK ÖZETİ  (1 TANK)</t>
        </is>
      </c>
    </row>
    <row r="2" ht="30" customHeight="1">
      <c r="A2" s="2" t="inlineStr">
        <is>
          <t>BÖLÜM</t>
        </is>
      </c>
      <c r="B2" s="2" t="inlineStr">
        <is>
          <t>AÇIKLAMA</t>
        </is>
      </c>
      <c r="C2" s="2" t="inlineStr">
        <is>
          <t>AĞIRLIK
(kg)</t>
        </is>
      </c>
      <c r="D2" s="2" t="inlineStr">
        <is>
          <t>ADET
(Tank)</t>
        </is>
      </c>
      <c r="E2" s="2" t="inlineStr">
        <is>
          <t>TOPLAM
AĞIRLIK (kg)</t>
        </is>
      </c>
      <c r="F2" s="2" t="inlineStr">
        <is>
          <t>KAYNAK ÇİZİM</t>
        </is>
      </c>
    </row>
    <row r="3">
      <c r="A3" s="4" t="inlineStr">
        <is>
          <t>GÖVDE</t>
        </is>
      </c>
      <c r="B3" s="11" t="inlineStr">
        <is>
          <t>Silindirik Gövde Sacları  (8mm + 6mm)</t>
        </is>
      </c>
      <c r="C3" s="12" t="n">
        <v>16513</v>
      </c>
      <c r="D3" s="4" t="n">
        <v>1</v>
      </c>
      <c r="E3" s="4" t="n">
        <v>16513</v>
      </c>
      <c r="F3" s="4" t="inlineStr">
        <is>
          <t>KEY199MECEQP2001</t>
        </is>
      </c>
    </row>
    <row r="4">
      <c r="A4" s="6" t="inlineStr">
        <is>
          <t>TABAN</t>
        </is>
      </c>
      <c r="B4" s="13" t="inlineStr">
        <is>
          <t>Taban Plakaları  (10mm + 12mm annüler)</t>
        </is>
      </c>
      <c r="C4" s="12" t="n">
        <v>11176.7</v>
      </c>
      <c r="D4" s="6" t="n">
        <v>1</v>
      </c>
      <c r="E4" s="6" t="n">
        <v>11176.7</v>
      </c>
      <c r="F4" s="6" t="inlineStr">
        <is>
          <t>KEY199MECEQP2003</t>
        </is>
      </c>
    </row>
    <row r="5">
      <c r="A5" s="4" t="inlineStr">
        <is>
          <t>TABAN</t>
        </is>
      </c>
      <c r="B5" s="11" t="inlineStr">
        <is>
          <t>Drenaj Çukuru</t>
        </is>
      </c>
      <c r="C5" s="12" t="n">
        <v>76.09999999999999</v>
      </c>
      <c r="D5" s="4" t="n">
        <v>1</v>
      </c>
      <c r="E5" s="4" t="n">
        <v>76.09999999999999</v>
      </c>
      <c r="F5" s="4" t="inlineStr">
        <is>
          <t>KEY199MECEQP2003</t>
        </is>
      </c>
    </row>
    <row r="6">
      <c r="A6" s="6" t="inlineStr">
        <is>
          <t>TAVAN</t>
        </is>
      </c>
      <c r="B6" s="13" t="inlineStr">
        <is>
          <t>Konik Tavan Sacları  (8mm)</t>
        </is>
      </c>
      <c r="C6" s="12" t="n">
        <v>8147</v>
      </c>
      <c r="D6" s="6" t="n">
        <v>1</v>
      </c>
      <c r="E6" s="6" t="n">
        <v>8147</v>
      </c>
      <c r="F6" s="6" t="inlineStr">
        <is>
          <t>KEY199MECEQP2002</t>
        </is>
      </c>
    </row>
    <row r="7">
      <c r="A7" s="4" t="inlineStr">
        <is>
          <t>TAVAN İSK.</t>
        </is>
      </c>
      <c r="B7" s="11" t="inlineStr">
        <is>
          <t>Konik Çatı Yapısal (CK1-CK4+KL1+W1+W2+YC1+YC2)</t>
        </is>
      </c>
      <c r="C7" s="12" t="n">
        <v>5454</v>
      </c>
      <c r="D7" s="4" t="n">
        <v>1</v>
      </c>
      <c r="E7" s="4" t="n">
        <v>5454</v>
      </c>
      <c r="F7" s="4" t="inlineStr">
        <is>
          <t>KEY199MECEQP2004</t>
        </is>
      </c>
    </row>
    <row r="8">
      <c r="A8" s="6" t="inlineStr">
        <is>
          <t>NOZUL N1</t>
        </is>
      </c>
      <c r="B8" s="13" t="inlineStr">
        <is>
          <t>12" Petrol Giriş Nozulu</t>
        </is>
      </c>
      <c r="C8" s="12" t="n">
        <v>68.5</v>
      </c>
      <c r="D8" s="6" t="n">
        <v>1</v>
      </c>
      <c r="E8" s="6" t="n">
        <v>68.5</v>
      </c>
      <c r="F8" s="6" t="inlineStr">
        <is>
          <t>MKD-205</t>
        </is>
      </c>
    </row>
    <row r="9">
      <c r="A9" s="4" t="inlineStr">
        <is>
          <t>NOZUL N4</t>
        </is>
      </c>
      <c r="B9" s="11" t="inlineStr">
        <is>
          <t>12" Petrol Çıkış Nozulu (BOTTOM)</t>
        </is>
      </c>
      <c r="C9" s="12" t="n">
        <v>64.5</v>
      </c>
      <c r="D9" s="4" t="n">
        <v>1</v>
      </c>
      <c r="E9" s="4" t="n">
        <v>64.5</v>
      </c>
      <c r="F9" s="4" t="inlineStr">
        <is>
          <t>MKD-205</t>
        </is>
      </c>
    </row>
    <row r="10">
      <c r="A10" s="6" t="inlineStr">
        <is>
          <t>NOZUL N7A/B</t>
        </is>
      </c>
      <c r="B10" s="13" t="inlineStr">
        <is>
          <t>6" Drain Nozulu</t>
        </is>
      </c>
      <c r="C10" s="12" t="n">
        <v>62</v>
      </c>
      <c r="D10" s="6" t="n">
        <v>2</v>
      </c>
      <c r="E10" s="6" t="n">
        <v>124</v>
      </c>
      <c r="F10" s="6" t="inlineStr">
        <is>
          <t>MKD-205</t>
        </is>
      </c>
    </row>
    <row r="11">
      <c r="A11" s="4" t="inlineStr">
        <is>
          <t>NOZUL N8</t>
        </is>
      </c>
      <c r="B11" s="11" t="inlineStr">
        <is>
          <t>8" Köpük Yapıcı Nozulu</t>
        </is>
      </c>
      <c r="C11" s="12" t="n">
        <v>31.9</v>
      </c>
      <c r="D11" s="4" t="n">
        <v>1</v>
      </c>
      <c r="E11" s="4" t="n">
        <v>31.9</v>
      </c>
      <c r="F11" s="4" t="inlineStr">
        <is>
          <t>MKD-205</t>
        </is>
      </c>
    </row>
    <row r="12">
      <c r="A12" s="6" t="inlineStr">
        <is>
          <t>NOZUL N9</t>
        </is>
      </c>
      <c r="B12" s="13" t="inlineStr">
        <is>
          <t>1.5" Sıcaklık Ölçüm Nozulu</t>
        </is>
      </c>
      <c r="C12" s="12" t="n">
        <v>2.65</v>
      </c>
      <c r="D12" s="6" t="n">
        <v>1</v>
      </c>
      <c r="E12" s="6" t="n">
        <v>2.65</v>
      </c>
      <c r="F12" s="6" t="inlineStr">
        <is>
          <t>MKD-205</t>
        </is>
      </c>
    </row>
    <row r="13">
      <c r="A13" s="4" t="inlineStr">
        <is>
          <t>NOZUL N18</t>
        </is>
      </c>
      <c r="B13" s="11" t="inlineStr">
        <is>
          <t>1" Yüksek Seviye Sensörü</t>
        </is>
      </c>
      <c r="C13" s="12" t="n">
        <v>1.7</v>
      </c>
      <c r="D13" s="4" t="n">
        <v>1</v>
      </c>
      <c r="E13" s="4" t="n">
        <v>1.7</v>
      </c>
      <c r="F13" s="4" t="inlineStr">
        <is>
          <t>MKD-205</t>
        </is>
      </c>
    </row>
    <row r="14">
      <c r="A14" s="6" t="inlineStr">
        <is>
          <t>NOZUL N19</t>
        </is>
      </c>
      <c r="B14" s="13" t="inlineStr">
        <is>
          <t>6" Radar Ölçüm Nozulu</t>
        </is>
      </c>
      <c r="C14" s="14" t="inlineStr">
        <is>
          <t>~62</t>
        </is>
      </c>
      <c r="D14" s="6" t="n">
        <v>1</v>
      </c>
      <c r="E14" s="6" t="inlineStr">
        <is>
          <t>~62</t>
        </is>
      </c>
      <c r="F14" s="6" t="inlineStr">
        <is>
          <t>MKD-205</t>
        </is>
      </c>
    </row>
    <row r="15">
      <c r="A15" s="4" t="inlineStr">
        <is>
          <t>NOZUL N21</t>
        </is>
      </c>
      <c r="B15" s="11" t="inlineStr">
        <is>
          <t>12" Hava Nozulu</t>
        </is>
      </c>
      <c r="C15" s="12" t="n">
        <v>61.1</v>
      </c>
      <c r="D15" s="4" t="n">
        <v>4</v>
      </c>
      <c r="E15" s="4" t="n">
        <v>244.4</v>
      </c>
      <c r="F15" s="4" t="inlineStr">
        <is>
          <t>MKD-205</t>
        </is>
      </c>
    </row>
    <row r="16">
      <c r="A16" s="6" t="inlineStr">
        <is>
          <t>MANHOL M1</t>
        </is>
      </c>
      <c r="B16" s="13" t="inlineStr">
        <is>
          <t>24" Gövde Manholu</t>
        </is>
      </c>
      <c r="C16" s="12" t="n">
        <v>180</v>
      </c>
      <c r="D16" s="6" t="n">
        <v>1</v>
      </c>
      <c r="E16" s="6" t="n">
        <v>180</v>
      </c>
      <c r="F16" s="6" t="inlineStr">
        <is>
          <t>MKD-204</t>
        </is>
      </c>
    </row>
    <row r="17">
      <c r="A17" s="4" t="inlineStr">
        <is>
          <t>MANHOL M2</t>
        </is>
      </c>
      <c r="B17" s="11" t="inlineStr">
        <is>
          <t>24" Tavan Manholu</t>
        </is>
      </c>
      <c r="C17" s="12" t="n">
        <v>132.5</v>
      </c>
      <c r="D17" s="4" t="n">
        <v>1</v>
      </c>
      <c r="E17" s="4" t="n">
        <v>132.5</v>
      </c>
      <c r="F17" s="4" t="inlineStr">
        <is>
          <t>MKD-204</t>
        </is>
      </c>
    </row>
    <row r="18">
      <c r="A18" s="6" t="inlineStr">
        <is>
          <t>MANHOL M3</t>
        </is>
      </c>
      <c r="B18" s="13" t="inlineStr">
        <is>
          <t>24" Temizleme Manholu</t>
        </is>
      </c>
      <c r="C18" s="12" t="n">
        <v>367</v>
      </c>
      <c r="D18" s="6" t="n">
        <v>1</v>
      </c>
      <c r="E18" s="6" t="n">
        <v>367</v>
      </c>
      <c r="F18" s="6" t="inlineStr">
        <is>
          <t>MKD-211</t>
        </is>
      </c>
    </row>
    <row r="19">
      <c r="A19" s="4" t="inlineStr">
        <is>
          <t>ANKRAJ</t>
        </is>
      </c>
      <c r="B19" s="11" t="inlineStr">
        <is>
          <t>Ankraj (16 komple × 13.5 Kg)</t>
        </is>
      </c>
      <c r="C19" s="12" t="n">
        <v>13.5</v>
      </c>
      <c r="D19" s="4" t="n">
        <v>16</v>
      </c>
      <c r="E19" s="4" t="n">
        <v>216</v>
      </c>
      <c r="F19" s="4" t="inlineStr">
        <is>
          <t>KEY199MECEQP2001</t>
        </is>
      </c>
    </row>
    <row r="20">
      <c r="A20" s="6" t="inlineStr">
        <is>
          <t>MERDİVEN</t>
        </is>
      </c>
      <c r="B20" s="13" t="inlineStr">
        <is>
          <t>Merdiven + Korkuluk  (1 Komple)</t>
        </is>
      </c>
      <c r="C20" s="12" t="n">
        <v>1777</v>
      </c>
      <c r="D20" s="6" t="n">
        <v>1</v>
      </c>
      <c r="E20" s="6" t="n">
        <v>1777</v>
      </c>
      <c r="F20" s="6" t="inlineStr">
        <is>
          <t>MKD-210</t>
        </is>
      </c>
    </row>
    <row r="21">
      <c r="A21" s="4" t="inlineStr">
        <is>
          <t>İSİM PLAK.</t>
        </is>
      </c>
      <c r="B21" s="11" t="inlineStr">
        <is>
          <t>Tank İsim Plakası (TI-1 ~ TI-4)</t>
        </is>
      </c>
      <c r="C21" s="12" t="n">
        <v>5.18</v>
      </c>
      <c r="D21" s="4" t="n">
        <v>1</v>
      </c>
      <c r="E21" s="4" t="n">
        <v>5.18</v>
      </c>
      <c r="F21" s="4" t="inlineStr">
        <is>
          <t>–</t>
        </is>
      </c>
    </row>
    <row r="22">
      <c r="A22" s="6" t="inlineStr">
        <is>
          <t>SAMANDIRA</t>
        </is>
      </c>
      <c r="B22" s="13" t="inlineStr">
        <is>
          <t>Mekanik Samandıra (N14)</t>
        </is>
      </c>
      <c r="C22" s="14" t="inlineStr">
        <is>
          <t>Bekleniyor</t>
        </is>
      </c>
      <c r="D22" s="6" t="inlineStr">
        <is>
          <t>1</t>
        </is>
      </c>
      <c r="E22" s="6" t="inlineStr">
        <is>
          <t>Bekleniyor</t>
        </is>
      </c>
      <c r="F22" s="6" t="inlineStr">
        <is>
          <t>MKD-206</t>
        </is>
      </c>
    </row>
    <row r="24">
      <c r="A24" s="8" t="inlineStr">
        <is>
          <t>BİLİNEN TOPLAM (yaklaşık, eksikler hariç):</t>
        </is>
      </c>
      <c r="C24" s="9" t="inlineStr">
        <is>
          <t>~44134</t>
        </is>
      </c>
      <c r="D24" s="9" t="inlineStr">
        <is>
          <t>–</t>
        </is>
      </c>
      <c r="E24" s="9" t="inlineStr">
        <is>
          <t>~44582</t>
        </is>
      </c>
      <c r="F24" s="9" t="inlineStr"/>
    </row>
  </sheetData>
  <mergeCells count="2">
    <mergeCell ref="A24:B24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6" customWidth="1" min="4" max="4"/>
    <col width="14" customWidth="1" min="5" max="5"/>
    <col width="14" customWidth="1" min="6" max="6"/>
    <col width="28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7000 Bbl ÜRETİM TANKI  —  MALİYET TAHMİN ÇİZELGESİ  (1 TANK)</t>
        </is>
      </c>
    </row>
    <row r="2" ht="18" customHeight="1">
      <c r="A2" s="7" t="inlineStr">
        <is>
          <t>A. MALZEME MALİYETİ</t>
        </is>
      </c>
    </row>
    <row r="3" ht="40" customHeight="1">
      <c r="A3" s="2" t="inlineStr">
        <is>
          <t>BÖLÜM</t>
        </is>
      </c>
      <c r="B3" s="2" t="inlineStr">
        <is>
          <t>AÇIKLAMA</t>
        </is>
      </c>
      <c r="C3" s="2" t="inlineStr">
        <is>
          <t>MALZEME
SINIFI</t>
        </is>
      </c>
      <c r="D3" s="2" t="inlineStr">
        <is>
          <t>KALINLIK
(mm)</t>
        </is>
      </c>
      <c r="E3" s="2" t="inlineStr">
        <is>
          <t>AĞIRLIK
(kg)</t>
        </is>
      </c>
      <c r="F3" s="2" t="inlineStr">
        <is>
          <t>BİRİM FİYAT
($/kg) ★</t>
        </is>
      </c>
      <c r="G3" s="2" t="inlineStr">
        <is>
          <t>MALZEME
MALİYETİ ($)</t>
        </is>
      </c>
      <c r="H3" s="2" t="inlineStr">
        <is>
          <t>İŞÇİLİK
FİYAT($/kg) ★</t>
        </is>
      </c>
      <c r="I3" s="2" t="inlineStr">
        <is>
          <t>İŞÇİLİK
MALİYETİ ($)</t>
        </is>
      </c>
      <c r="J3" s="2" t="inlineStr">
        <is>
          <t>TOPLAM ($)</t>
        </is>
      </c>
    </row>
    <row r="4">
      <c r="A4" s="6" t="inlineStr">
        <is>
          <t>GÖVDE</t>
        </is>
      </c>
      <c r="B4" s="13" t="inlineStr">
        <is>
          <t>Gövde Sacları (Shell)</t>
        </is>
      </c>
      <c r="C4" s="6" t="inlineStr">
        <is>
          <t>S275J2</t>
        </is>
      </c>
      <c r="D4" s="6" t="inlineStr">
        <is>
          <t>6-8</t>
        </is>
      </c>
      <c r="E4" s="6" t="n">
        <v>16513</v>
      </c>
      <c r="F4" s="14" t="inlineStr"/>
      <c r="G4" s="6">
        <f>E4*F4</f>
        <v/>
      </c>
      <c r="H4" s="14" t="inlineStr"/>
      <c r="I4" s="6">
        <f>E4*H4</f>
        <v/>
      </c>
      <c r="J4" s="6">
        <f>G4+I4</f>
        <v/>
      </c>
    </row>
    <row r="5">
      <c r="A5" s="4" t="inlineStr">
        <is>
          <t>TABAN</t>
        </is>
      </c>
      <c r="B5" s="11" t="inlineStr">
        <is>
          <t>Taban Plakaları (Orta)</t>
        </is>
      </c>
      <c r="C5" s="4" t="inlineStr">
        <is>
          <t>S275J2</t>
        </is>
      </c>
      <c r="D5" s="4" t="inlineStr">
        <is>
          <t>10</t>
        </is>
      </c>
      <c r="E5" s="4" t="n">
        <v>11252.8</v>
      </c>
      <c r="F5" s="14" t="inlineStr"/>
      <c r="G5" s="4">
        <f>E5*F5</f>
        <v/>
      </c>
      <c r="H5" s="14" t="inlineStr"/>
      <c r="I5" s="4">
        <f>E5*H5</f>
        <v/>
      </c>
      <c r="J5" s="4">
        <f>G5+I5</f>
        <v/>
      </c>
    </row>
    <row r="6">
      <c r="A6" s="6" t="inlineStr">
        <is>
          <t>TABAN</t>
        </is>
      </c>
      <c r="B6" s="13" t="inlineStr">
        <is>
          <t>Annüler Plakalar (Kenar)</t>
        </is>
      </c>
      <c r="C6" s="6" t="inlineStr">
        <is>
          <t>S275J2</t>
        </is>
      </c>
      <c r="D6" s="6" t="inlineStr">
        <is>
          <t>12</t>
        </is>
      </c>
      <c r="E6" s="6" t="inlineStr">
        <is>
          <t>dahil</t>
        </is>
      </c>
      <c r="F6" s="14" t="inlineStr"/>
      <c r="G6" s="6" t="inlineStr"/>
      <c r="H6" s="14" t="inlineStr"/>
      <c r="I6" s="6" t="inlineStr"/>
      <c r="J6" s="6" t="inlineStr"/>
    </row>
    <row r="7">
      <c r="A7" s="4" t="inlineStr">
        <is>
          <t>TAVAN</t>
        </is>
      </c>
      <c r="B7" s="11" t="inlineStr">
        <is>
          <t>Konik Tavan Sacları</t>
        </is>
      </c>
      <c r="C7" s="4" t="inlineStr">
        <is>
          <t>S275J2</t>
        </is>
      </c>
      <c r="D7" s="4" t="inlineStr">
        <is>
          <t>8</t>
        </is>
      </c>
      <c r="E7" s="4" t="n">
        <v>8147</v>
      </c>
      <c r="F7" s="14" t="inlineStr"/>
      <c r="G7" s="4">
        <f>E7*F7</f>
        <v/>
      </c>
      <c r="H7" s="14" t="inlineStr"/>
      <c r="I7" s="4">
        <f>E7*H7</f>
        <v/>
      </c>
      <c r="J7" s="4">
        <f>G7+I7</f>
        <v/>
      </c>
    </row>
    <row r="8">
      <c r="A8" s="6" t="inlineStr">
        <is>
          <t>TAVAN İSK.</t>
        </is>
      </c>
      <c r="B8" s="13" t="inlineStr">
        <is>
          <t>Çatı İskeleti (UNP+PL+PIP)</t>
        </is>
      </c>
      <c r="C8" s="6" t="inlineStr">
        <is>
          <t>S235JR</t>
        </is>
      </c>
      <c r="D8" s="6" t="inlineStr">
        <is>
          <t>–</t>
        </is>
      </c>
      <c r="E8" s="6" t="inlineStr">
        <is>
          <t>~5500</t>
        </is>
      </c>
      <c r="F8" s="14" t="inlineStr"/>
      <c r="G8" s="6" t="inlineStr"/>
      <c r="H8" s="14" t="inlineStr"/>
      <c r="I8" s="6" t="inlineStr"/>
      <c r="J8" s="6" t="inlineStr"/>
    </row>
    <row r="9">
      <c r="A9" s="4" t="inlineStr">
        <is>
          <t>NOZULLAR</t>
        </is>
      </c>
      <c r="B9" s="11" t="inlineStr">
        <is>
          <t>Tüm Nozullar (N1+N4+N7A/B+N8+N9+N18+N19+N21)</t>
        </is>
      </c>
      <c r="C9" s="4" t="inlineStr">
        <is>
          <t>A106/A105</t>
        </is>
      </c>
      <c r="D9" s="4" t="inlineStr">
        <is>
          <t>–</t>
        </is>
      </c>
      <c r="E9" s="4" t="n">
        <v>599.6</v>
      </c>
      <c r="F9" s="14" t="inlineStr"/>
      <c r="G9" s="4">
        <f>E9*F9</f>
        <v/>
      </c>
      <c r="H9" s="14" t="inlineStr"/>
      <c r="I9" s="4">
        <f>E9*H9</f>
        <v/>
      </c>
      <c r="J9" s="4">
        <f>G9+I9</f>
        <v/>
      </c>
    </row>
    <row r="10">
      <c r="A10" s="6" t="inlineStr">
        <is>
          <t>MANHOLLER</t>
        </is>
      </c>
      <c r="B10" s="13" t="inlineStr">
        <is>
          <t>M1+M2+M3 Manhol</t>
        </is>
      </c>
      <c r="C10" s="6" t="inlineStr">
        <is>
          <t>S275J2</t>
        </is>
      </c>
      <c r="D10" s="6" t="inlineStr">
        <is>
          <t>–</t>
        </is>
      </c>
      <c r="E10" s="6" t="n">
        <v>679.5</v>
      </c>
      <c r="F10" s="14" t="inlineStr"/>
      <c r="G10" s="6">
        <f>E10*F10</f>
        <v/>
      </c>
      <c r="H10" s="14" t="inlineStr"/>
      <c r="I10" s="6">
        <f>E10*H10</f>
        <v/>
      </c>
      <c r="J10" s="6">
        <f>G10+I10</f>
        <v/>
      </c>
    </row>
    <row r="11">
      <c r="A11" s="4" t="inlineStr">
        <is>
          <t>ANKRAJ</t>
        </is>
      </c>
      <c r="B11" s="11" t="inlineStr">
        <is>
          <t>Ankraj (16 Komple)</t>
        </is>
      </c>
      <c r="C11" s="4" t="inlineStr">
        <is>
          <t>AISI C1030</t>
        </is>
      </c>
      <c r="D11" s="4" t="inlineStr">
        <is>
          <t>–</t>
        </is>
      </c>
      <c r="E11" s="4" t="n">
        <v>216</v>
      </c>
      <c r="F11" s="14" t="inlineStr"/>
      <c r="G11" s="4">
        <f>E11*F11</f>
        <v/>
      </c>
      <c r="H11" s="14" t="inlineStr"/>
      <c r="I11" s="4">
        <f>E11*H11</f>
        <v/>
      </c>
      <c r="J11" s="4">
        <f>G11+I11</f>
        <v/>
      </c>
    </row>
    <row r="12">
      <c r="A12" s="6" t="inlineStr">
        <is>
          <t>DİĞER</t>
        </is>
      </c>
      <c r="B12" s="13" t="inlineStr">
        <is>
          <t>Merdiven+Samandıra+Aksesuar</t>
        </is>
      </c>
      <c r="C12" s="6" t="inlineStr">
        <is>
          <t>S235JR</t>
        </is>
      </c>
      <c r="D12" s="6" t="inlineStr">
        <is>
          <t>–</t>
        </is>
      </c>
      <c r="E12" s="6" t="inlineStr">
        <is>
          <t>~500</t>
        </is>
      </c>
      <c r="F12" s="14" t="inlineStr"/>
      <c r="G12" s="6" t="inlineStr"/>
      <c r="H12" s="14" t="inlineStr"/>
      <c r="I12" s="6" t="inlineStr"/>
      <c r="J12" s="6" t="inlineStr"/>
    </row>
    <row r="14" ht="18" customHeight="1">
      <c r="A14" s="7" t="inlineStr">
        <is>
          <t>B. İMALAT İŞÇİLİĞİ (Kesim / Bükme / Haddeleme)</t>
        </is>
      </c>
    </row>
    <row r="15" ht="30" customHeight="1">
      <c r="A15" s="2" t="inlineStr">
        <is>
          <t>İŞLEM TÜRÜ</t>
        </is>
      </c>
      <c r="B15" s="2" t="inlineStr">
        <is>
          <t>AÇIKLAMA</t>
        </is>
      </c>
      <c r="C15" s="2" t="inlineStr">
        <is>
          <t>MİKTAR</t>
        </is>
      </c>
      <c r="D15" s="2" t="inlineStr">
        <is>
          <t>BİRİM</t>
        </is>
      </c>
      <c r="E15" s="2" t="inlineStr">
        <is>
          <t>BİRİM FİYAT ★</t>
        </is>
      </c>
      <c r="F15" s="2" t="inlineStr">
        <is>
          <t>TUTAR ($)</t>
        </is>
      </c>
      <c r="G15" s="2" t="inlineStr">
        <is>
          <t>NOT</t>
        </is>
      </c>
    </row>
    <row r="16">
      <c r="A16" s="4" t="inlineStr">
        <is>
          <t>Silindirik Bükme</t>
        </is>
      </c>
      <c r="B16" s="11" t="inlineStr">
        <is>
          <t>Gövde Sacları 6mm</t>
        </is>
      </c>
      <c r="C16" s="4" t="inlineStr">
        <is>
          <t>351 adet plaka</t>
        </is>
      </c>
      <c r="D16" s="4" t="inlineStr">
        <is>
          <t>adet</t>
        </is>
      </c>
      <c r="E16" s="14" t="inlineStr"/>
      <c r="F16" s="4" t="inlineStr"/>
      <c r="G16" s="4" t="inlineStr">
        <is>
          <t>1480×6000mm plakalar</t>
        </is>
      </c>
    </row>
    <row r="17">
      <c r="A17" s="6" t="inlineStr">
        <is>
          <t>Silindirik Bükme</t>
        </is>
      </c>
      <c r="B17" s="13" t="inlineStr">
        <is>
          <t>Gövde Sacları 8mm</t>
        </is>
      </c>
      <c r="C17" s="6" t="inlineStr">
        <is>
          <t>7 adet plaka</t>
        </is>
      </c>
      <c r="D17" s="6" t="inlineStr">
        <is>
          <t>adet</t>
        </is>
      </c>
      <c r="E17" s="14" t="inlineStr"/>
      <c r="F17" s="6" t="inlineStr"/>
      <c r="G17" s="6" t="inlineStr">
        <is>
          <t>1480×6000mm + kısmi</t>
        </is>
      </c>
    </row>
    <row r="18">
      <c r="A18" s="4" t="inlineStr">
        <is>
          <t>Konik Bükme</t>
        </is>
      </c>
      <c r="B18" s="11" t="inlineStr">
        <is>
          <t>Tavan Sacları 8mm</t>
        </is>
      </c>
      <c r="C18" s="4" t="inlineStr">
        <is>
          <t>~27 adet sektör</t>
        </is>
      </c>
      <c r="D18" s="4" t="inlineStr">
        <is>
          <t>adet</t>
        </is>
      </c>
      <c r="E18" s="14" t="inlineStr"/>
      <c r="F18" s="4" t="inlineStr"/>
      <c r="G18" s="4" t="inlineStr">
        <is>
          <t>Konik şekil, özel kalıp</t>
        </is>
      </c>
    </row>
    <row r="19">
      <c r="A19" s="6" t="inlineStr">
        <is>
          <t>Kesim (Plazma/Lazer)</t>
        </is>
      </c>
      <c r="B19" s="13" t="inlineStr">
        <is>
          <t>Tüm Plakalar</t>
        </is>
      </c>
      <c r="C19" s="6" t="inlineStr">
        <is>
          <t>~37 ton</t>
        </is>
      </c>
      <c r="D19" s="6" t="inlineStr">
        <is>
          <t>ton</t>
        </is>
      </c>
      <c r="E19" s="14" t="inlineStr"/>
      <c r="F19" s="6" t="inlineStr"/>
      <c r="G19" s="6" t="inlineStr">
        <is>
          <t>Gövde+Taban+Tavan</t>
        </is>
      </c>
    </row>
    <row r="20">
      <c r="A20" s="4" t="inlineStr">
        <is>
          <t>Profil Kesim</t>
        </is>
      </c>
      <c r="B20" s="11" t="inlineStr">
        <is>
          <t>UNP240/UNP200/L80</t>
        </is>
      </c>
      <c r="C20" s="4" t="inlineStr">
        <is>
          <t>~3000 kg</t>
        </is>
      </c>
      <c r="D20" s="4" t="inlineStr">
        <is>
          <t>ton</t>
        </is>
      </c>
      <c r="E20" s="14" t="inlineStr"/>
      <c r="F20" s="4" t="inlineStr"/>
      <c r="G20" s="4" t="inlineStr">
        <is>
          <t>Çatı iskeleti</t>
        </is>
      </c>
    </row>
    <row r="21">
      <c r="A21" s="6" t="inlineStr">
        <is>
          <t>Boru Kesim</t>
        </is>
      </c>
      <c r="B21" s="13" t="inlineStr">
        <is>
          <t>PIP 323.9×8 + Nozul boruları</t>
        </is>
      </c>
      <c r="C21" s="6" t="inlineStr">
        <is>
          <t>~700 kg</t>
        </is>
      </c>
      <c r="D21" s="6" t="inlineStr">
        <is>
          <t>ton</t>
        </is>
      </c>
      <c r="E21" s="14" t="inlineStr"/>
      <c r="F21" s="6" t="inlineStr"/>
      <c r="G21" s="6" t="inlineStr"/>
    </row>
    <row r="23" ht="18" customHeight="1">
      <c r="A23" s="7" t="inlineStr">
        <is>
          <t>C. KAYNAK MALİYETİ</t>
        </is>
      </c>
    </row>
    <row r="24" ht="30" customHeight="1">
      <c r="A24" s="2" t="inlineStr">
        <is>
          <t>KAYNAK TÜRÜ</t>
        </is>
      </c>
      <c r="B24" s="2" t="inlineStr">
        <is>
          <t>AÇIKLAMA</t>
        </is>
      </c>
      <c r="C24" s="2" t="inlineStr">
        <is>
          <t>MİKTAR (m)</t>
        </is>
      </c>
      <c r="D24" s="2" t="inlineStr">
        <is>
          <t>KAYNAK KALİTESİ</t>
        </is>
      </c>
      <c r="E24" s="2" t="inlineStr">
        <is>
          <t>BİRİM FİYAT ★</t>
        </is>
      </c>
      <c r="F24" s="2" t="inlineStr">
        <is>
          <t>TUTAR ($)</t>
        </is>
      </c>
      <c r="G24" s="2" t="inlineStr">
        <is>
          <t>NOT</t>
        </is>
      </c>
    </row>
    <row r="25">
      <c r="A25" s="4" t="inlineStr">
        <is>
          <t>Dikey Dikiş (SAW/SMAW)</t>
        </is>
      </c>
      <c r="B25" s="11" t="inlineStr">
        <is>
          <t>Gövde Dikey Birleşimler</t>
        </is>
      </c>
      <c r="C25" s="4" t="inlineStr">
        <is>
          <t>~220 m</t>
        </is>
      </c>
      <c r="D25" s="4" t="inlineStr">
        <is>
          <t>RT %100</t>
        </is>
      </c>
      <c r="E25" s="14" t="inlineStr"/>
      <c r="F25" s="4" t="inlineStr"/>
      <c r="G25" s="4" t="inlineStr"/>
    </row>
    <row r="26">
      <c r="A26" s="6" t="inlineStr">
        <is>
          <t>Yatay Dikiş (SAW)</t>
        </is>
      </c>
      <c r="B26" s="13" t="inlineStr">
        <is>
          <t>Gövde Yatay/Çevre Birleşimler</t>
        </is>
      </c>
      <c r="C26" s="6" t="inlineStr">
        <is>
          <t>~164 m</t>
        </is>
      </c>
      <c r="D26" s="6" t="inlineStr">
        <is>
          <t>RT %100</t>
        </is>
      </c>
      <c r="E26" s="14" t="inlineStr"/>
      <c r="F26" s="6" t="inlineStr"/>
      <c r="G26" s="6" t="inlineStr"/>
    </row>
    <row r="27">
      <c r="A27" s="4" t="inlineStr">
        <is>
          <t>Taban Plaka Kaynağı</t>
        </is>
      </c>
      <c r="B27" s="11" t="inlineStr">
        <is>
          <t>Taban Birleşimleri (Lap)</t>
        </is>
      </c>
      <c r="C27" s="4" t="inlineStr">
        <is>
          <t>~320 m</t>
        </is>
      </c>
      <c r="D27" s="4" t="inlineStr">
        <is>
          <t>VT</t>
        </is>
      </c>
      <c r="E27" s="14" t="inlineStr"/>
      <c r="F27" s="4" t="inlineStr"/>
      <c r="G27" s="4" t="inlineStr"/>
    </row>
    <row r="28">
      <c r="A28" s="6" t="inlineStr">
        <is>
          <t>Tavan Plaka Kaynağı</t>
        </is>
      </c>
      <c r="B28" s="13" t="inlineStr">
        <is>
          <t>Konik Tavan Birleşimleri</t>
        </is>
      </c>
      <c r="C28" s="6" t="inlineStr">
        <is>
          <t>~130 m</t>
        </is>
      </c>
      <c r="D28" s="6" t="inlineStr">
        <is>
          <t>VT</t>
        </is>
      </c>
      <c r="E28" s="14" t="inlineStr"/>
      <c r="F28" s="6" t="inlineStr"/>
      <c r="G28" s="6" t="inlineStr"/>
    </row>
    <row r="29">
      <c r="A29" s="4" t="inlineStr">
        <is>
          <t>Nozul Kaynağı</t>
        </is>
      </c>
      <c r="B29" s="11" t="inlineStr">
        <is>
          <t>Tüm Nozullar</t>
        </is>
      </c>
      <c r="C29" s="4" t="inlineStr">
        <is>
          <t>~12 adet</t>
        </is>
      </c>
      <c r="D29" s="4" t="inlineStr">
        <is>
          <t>PT+RT</t>
        </is>
      </c>
      <c r="E29" s="14" t="inlineStr"/>
      <c r="F29" s="4" t="inlineStr"/>
      <c r="G29" s="4" t="inlineStr"/>
    </row>
    <row r="30">
      <c r="A30" s="6" t="inlineStr">
        <is>
          <t>Manhol Kaynağı</t>
        </is>
      </c>
      <c r="B30" s="13" t="inlineStr">
        <is>
          <t>M1+M2+M3</t>
        </is>
      </c>
      <c r="C30" s="6" t="inlineStr">
        <is>
          <t>3 adet</t>
        </is>
      </c>
      <c r="D30" s="6" t="inlineStr">
        <is>
          <t>PT</t>
        </is>
      </c>
      <c r="E30" s="14" t="inlineStr"/>
      <c r="F30" s="6" t="inlineStr"/>
      <c r="G30" s="6" t="inlineStr"/>
    </row>
    <row r="31">
      <c r="A31" s="4" t="inlineStr">
        <is>
          <t>Yapısal Kaynak</t>
        </is>
      </c>
      <c r="B31" s="11" t="inlineStr">
        <is>
          <t>Çatı İskeleti</t>
        </is>
      </c>
      <c r="C31" s="4" t="inlineStr">
        <is>
          <t>~500 m</t>
        </is>
      </c>
      <c r="D31" s="4" t="inlineStr">
        <is>
          <t>VT</t>
        </is>
      </c>
      <c r="E31" s="14" t="inlineStr"/>
      <c r="F31" s="4" t="inlineStr"/>
      <c r="G31" s="4" t="inlineStr"/>
    </row>
    <row r="33" ht="18" customHeight="1">
      <c r="A33" s="7" t="inlineStr">
        <is>
          <t>D. BOYA VE YÜZEY HAZIRLAMA</t>
        </is>
      </c>
    </row>
    <row r="34" ht="30" customHeight="1">
      <c r="A34" s="2" t="inlineStr">
        <is>
          <t>YÜZEYİ</t>
        </is>
      </c>
      <c r="B34" s="2" t="inlineStr">
        <is>
          <t>AÇIKLAMA</t>
        </is>
      </c>
      <c r="C34" s="2" t="inlineStr">
        <is>
          <t>ALAN (m²)</t>
        </is>
      </c>
      <c r="D34" s="2" t="inlineStr">
        <is>
          <t>KAT SAYISI</t>
        </is>
      </c>
      <c r="E34" s="2" t="inlineStr">
        <is>
          <t>BİRİM FİYAT ★</t>
        </is>
      </c>
      <c r="F34" s="2" t="inlineStr">
        <is>
          <t>TUTAR ($)</t>
        </is>
      </c>
      <c r="G34" s="2" t="inlineStr">
        <is>
          <t>BOYA SİSTEMİ</t>
        </is>
      </c>
    </row>
    <row r="35">
      <c r="A35" s="4" t="inlineStr">
        <is>
          <t>İÇ YÜZEY (ISLAK)</t>
        </is>
      </c>
      <c r="B35" s="11" t="inlineStr">
        <is>
          <t>Gövde İç + Taban İç</t>
        </is>
      </c>
      <c r="C35" s="4" t="inlineStr">
        <is>
          <t>~520 m²</t>
        </is>
      </c>
      <c r="D35" s="4" t="n">
        <v>3</v>
      </c>
      <c r="E35" s="14" t="inlineStr"/>
      <c r="F35" s="4" t="inlineStr"/>
      <c r="G35" s="4" t="inlineStr">
        <is>
          <t>Epoksi Astar + Ara Kat + Finish</t>
        </is>
      </c>
    </row>
    <row r="36">
      <c r="A36" s="6" t="inlineStr">
        <is>
          <t>DIŞ YÜZEY</t>
        </is>
      </c>
      <c r="B36" s="13" t="inlineStr">
        <is>
          <t>Gövde Dış + Tavan Dış</t>
        </is>
      </c>
      <c r="C36" s="6" t="inlineStr">
        <is>
          <t>~525 m²</t>
        </is>
      </c>
      <c r="D36" s="6" t="n">
        <v>3</v>
      </c>
      <c r="E36" s="14" t="inlineStr"/>
      <c r="F36" s="6" t="inlineStr"/>
      <c r="G36" s="6" t="inlineStr">
        <is>
          <t>Korozyon Önleyici Sistem</t>
        </is>
      </c>
    </row>
    <row r="37">
      <c r="A37" s="4" t="inlineStr">
        <is>
          <t>İÇ TAVAN</t>
        </is>
      </c>
      <c r="B37" s="11" t="inlineStr">
        <is>
          <t>Tavan İç Yüzey</t>
        </is>
      </c>
      <c r="C37" s="4" t="inlineStr">
        <is>
          <t>~130 m²</t>
        </is>
      </c>
      <c r="D37" s="4" t="n">
        <v>2</v>
      </c>
      <c r="E37" s="14" t="inlineStr"/>
      <c r="F37" s="4" t="inlineStr"/>
      <c r="G37" s="4" t="inlineStr">
        <is>
          <t>Epoksi Astar</t>
        </is>
      </c>
    </row>
    <row r="38">
      <c r="A38" s="6" t="inlineStr">
        <is>
          <t>YAPISAL</t>
        </is>
      </c>
      <c r="B38" s="13" t="inlineStr">
        <is>
          <t>Çatı İskeleti Dış Yüzey</t>
        </is>
      </c>
      <c r="C38" s="6" t="inlineStr">
        <is>
          <t>~150 m²</t>
        </is>
      </c>
      <c r="D38" s="6" t="n">
        <v>3</v>
      </c>
      <c r="E38" s="14" t="inlineStr"/>
      <c r="F38" s="6" t="inlineStr"/>
      <c r="G38" s="6" t="inlineStr">
        <is>
          <t>Alkid/Epoksi</t>
        </is>
      </c>
    </row>
    <row r="40">
      <c r="A40" s="15" t="inlineStr">
        <is>
          <t>★ BİRİM FİYAT GİRİŞİ: Sarı hücrelere piyasa fiyatı giriniz. Formüller otomatik hesaplayacaktır.</t>
        </is>
      </c>
    </row>
  </sheetData>
  <mergeCells count="6">
    <mergeCell ref="A1:J1"/>
    <mergeCell ref="A23:J23"/>
    <mergeCell ref="A14:J14"/>
    <mergeCell ref="A40:J40"/>
    <mergeCell ref="A2:J2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2026-06-05T07:53:46Z</dcterms:created>
  <dcterms:modified xsi:type="dcterms:W3CDTF">2026-06-05T07:53:46Z</dcterms:modified>
</cp:coreProperties>
</file>