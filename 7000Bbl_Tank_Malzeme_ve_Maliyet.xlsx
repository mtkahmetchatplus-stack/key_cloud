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  <sheet name="Satınalma Metrajı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  <font>
      <b val="1"/>
      <color rgb="00FF00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30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12546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 ht="18" customHeight="1">
      <c r="A12" s="8" t="inlineStr">
        <is>
          <t>TOPLAM AĞIRLIK:</t>
        </is>
      </c>
      <c r="F12" s="9" t="n">
        <v>16513</v>
      </c>
      <c r="G12" s="9" t="inlineStr"/>
      <c r="H12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3×30 + POZ 3A×1)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12964</v>
      </c>
    </row>
    <row r="18">
      <c r="A18" s="10" t="inlineStr">
        <is>
          <t>NOT: Kurs yüksekliği 1480mm, toplam gövde yüksekliği ≈ 6 × 1480mm = 8880mm ≈ 8.920m. POZ 3 = 30 adet standart silindirik plaka (8mm'lik kursun nozulsuz plakaları 8mm'dir).</t>
        </is>
      </c>
    </row>
  </sheetData>
  <mergeCells count="4">
    <mergeCell ref="A18:H18"/>
    <mergeCell ref="A12:E12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  <row r="64" ht="18" customHeight="1">
      <c r="A64" s="7" t="inlineStr">
        <is>
          <t>TANK İSİM PLAKASI  (1 Adet)</t>
        </is>
      </c>
    </row>
    <row r="65" ht="30" customHeight="1">
      <c r="A65" s="2" t="inlineStr">
        <is>
          <t>POZ</t>
        </is>
      </c>
      <c r="B65" s="2" t="inlineStr">
        <is>
          <t>ADET</t>
        </is>
      </c>
      <c r="C65" s="2" t="inlineStr">
        <is>
          <t>AÇIKLAMA</t>
        </is>
      </c>
      <c r="D65" s="2" t="inlineStr">
        <is>
          <t>MALZEME</t>
        </is>
      </c>
      <c r="E65" s="2" t="inlineStr">
        <is>
          <t>BİRİM
AĞIRLIK(kg)</t>
        </is>
      </c>
      <c r="F65" s="2" t="inlineStr">
        <is>
          <t>TOPLAM
AĞIRLIK(kg)</t>
        </is>
      </c>
      <c r="G65" s="2" t="inlineStr">
        <is>
          <t>İŞLEM TÜRÜ</t>
        </is>
      </c>
    </row>
    <row r="66">
      <c r="A66" s="4" t="n">
        <v>1</v>
      </c>
      <c r="B66" s="4" t="n">
        <v>1</v>
      </c>
      <c r="C66" s="4" t="inlineStr">
        <is>
          <t>⊏ 215×6 ......... 230</t>
        </is>
      </c>
      <c r="D66" s="4" t="inlineStr">
        <is>
          <t>S275J2</t>
        </is>
      </c>
      <c r="E66" s="4" t="n">
        <v>2.33</v>
      </c>
      <c r="F66" s="4" t="n">
        <v>2.33</v>
      </c>
      <c r="G66" s="4" t="inlineStr">
        <is>
          <t>Kesim</t>
        </is>
      </c>
    </row>
    <row r="67">
      <c r="A67" s="6" t="n">
        <v>2</v>
      </c>
      <c r="B67" s="6" t="n">
        <v>1</v>
      </c>
      <c r="C67" s="6" t="inlineStr">
        <is>
          <t>⊏ 230×6 ......... 230</t>
        </is>
      </c>
      <c r="D67" s="6" t="inlineStr">
        <is>
          <t>S275J2</t>
        </is>
      </c>
      <c r="E67" s="6" t="n">
        <v>2.33</v>
      </c>
      <c r="F67" s="6" t="n">
        <v>2.33</v>
      </c>
      <c r="G67" s="6" t="inlineStr">
        <is>
          <t>Kesim</t>
        </is>
      </c>
    </row>
    <row r="68">
      <c r="A68" s="4" t="n">
        <v>3</v>
      </c>
      <c r="B68" s="4" t="n">
        <v>2</v>
      </c>
      <c r="C68" s="4" t="inlineStr">
        <is>
          <t>⊏ 25×6 ......... 230</t>
        </is>
      </c>
      <c r="D68" s="4" t="inlineStr">
        <is>
          <t>S275J2</t>
        </is>
      </c>
      <c r="E68" s="4" t="n">
        <v>0.26</v>
      </c>
      <c r="F68" s="4" t="n">
        <v>0.52</v>
      </c>
      <c r="G68" s="4" t="inlineStr">
        <is>
          <t>Kesim</t>
        </is>
      </c>
    </row>
    <row r="69">
      <c r="A69" s="6" t="n">
        <v>4</v>
      </c>
      <c r="B69" s="6" t="n">
        <v>4</v>
      </c>
      <c r="C69" s="6" t="inlineStr">
        <is>
          <t>BOLT/NVT NO.5-40 UNC</t>
        </is>
      </c>
      <c r="D69" s="6" t="inlineStr">
        <is>
          <t>304 S.S</t>
        </is>
      </c>
      <c r="E69" s="6" t="inlineStr">
        <is>
          <t>–</t>
        </is>
      </c>
      <c r="F69" s="6" t="inlineStr">
        <is>
          <t>–</t>
        </is>
      </c>
      <c r="G69" s="6" t="inlineStr">
        <is>
          <t>Montaj</t>
        </is>
      </c>
    </row>
    <row r="70">
      <c r="A70" s="8" t="inlineStr">
        <is>
          <t>TOPLAM AĞIRLIK: 5.18 Kg</t>
        </is>
      </c>
      <c r="F70" s="9" t="n">
        <v>5.18</v>
      </c>
      <c r="G70" s="9" t="inlineStr"/>
    </row>
    <row r="72" ht="18" customHeight="1">
      <c r="A72" s="7" t="inlineStr">
        <is>
          <t>MERDİVEN + KORKULUK  (1 Komple)</t>
        </is>
      </c>
    </row>
    <row r="73" ht="30" customHeight="1">
      <c r="A73" s="2" t="inlineStr">
        <is>
          <t>POZ</t>
        </is>
      </c>
      <c r="B73" s="2" t="inlineStr">
        <is>
          <t>ADET</t>
        </is>
      </c>
      <c r="C73" s="2" t="inlineStr">
        <is>
          <t>AÇIKLAMA</t>
        </is>
      </c>
      <c r="D73" s="2" t="inlineStr">
        <is>
          <t>MALZEME</t>
        </is>
      </c>
      <c r="E73" s="2" t="inlineStr">
        <is>
          <t>BİRİM
AĞIRLIK(kg)</t>
        </is>
      </c>
      <c r="F73" s="2" t="inlineStr">
        <is>
          <t>TOPLAM
AĞIRLIK(kg)</t>
        </is>
      </c>
      <c r="G73" s="2" t="inlineStr">
        <is>
          <t>İŞLEM TÜRÜ</t>
        </is>
      </c>
    </row>
    <row r="74">
      <c r="A74" s="4" t="n">
        <v>1</v>
      </c>
      <c r="B74" s="4" t="n">
        <v>1</v>
      </c>
      <c r="C74" s="4" t="inlineStr">
        <is>
          <t>⊏ 8×200 ......... 7550.5</t>
        </is>
      </c>
      <c r="D74" s="4" t="inlineStr">
        <is>
          <t>S235JR</t>
        </is>
      </c>
      <c r="E74" s="4" t="n">
        <v>94.8</v>
      </c>
      <c r="F74" s="4" t="n">
        <v>94.8</v>
      </c>
      <c r="G74" s="4" t="inlineStr">
        <is>
          <t>Kesim</t>
        </is>
      </c>
    </row>
    <row r="75">
      <c r="A75" s="6" t="n">
        <v>2</v>
      </c>
      <c r="B75" s="6" t="n">
        <v>1</v>
      </c>
      <c r="C75" s="6" t="inlineStr">
        <is>
          <t>⊏ 8×200 ......... 972.5</t>
        </is>
      </c>
      <c r="D75" s="6" t="inlineStr">
        <is>
          <t>S235JR</t>
        </is>
      </c>
      <c r="E75" s="6" t="n">
        <v>12.2</v>
      </c>
      <c r="F75" s="6" t="n">
        <v>12.2</v>
      </c>
      <c r="G75" s="6" t="inlineStr">
        <is>
          <t>Kesim</t>
        </is>
      </c>
    </row>
    <row r="76">
      <c r="A76" s="4" t="n">
        <v>3</v>
      </c>
      <c r="B76" s="4" t="n">
        <v>1</v>
      </c>
      <c r="C76" s="4" t="inlineStr">
        <is>
          <t>⊏ 8×200 ......... 6190</t>
        </is>
      </c>
      <c r="D76" s="4" t="inlineStr">
        <is>
          <t>S235JR</t>
        </is>
      </c>
      <c r="E76" s="4" t="n">
        <v>77.7</v>
      </c>
      <c r="F76" s="4" t="n">
        <v>77.7</v>
      </c>
      <c r="G76" s="4" t="inlineStr">
        <is>
          <t>Kesim</t>
        </is>
      </c>
    </row>
    <row r="77">
      <c r="A77" s="6" t="n">
        <v>4</v>
      </c>
      <c r="B77" s="6" t="n">
        <v>1</v>
      </c>
      <c r="C77" s="6" t="inlineStr">
        <is>
          <t>⊏ 8×200 ......... 899.5</t>
        </is>
      </c>
      <c r="D77" s="6" t="inlineStr">
        <is>
          <t>S235JR</t>
        </is>
      </c>
      <c r="E77" s="6" t="n">
        <v>11.3</v>
      </c>
      <c r="F77" s="6" t="n">
        <v>11.3</v>
      </c>
      <c r="G77" s="6" t="inlineStr">
        <is>
          <t>Kesim</t>
        </is>
      </c>
    </row>
    <row r="78">
      <c r="A78" s="4" t="n">
        <v>5</v>
      </c>
      <c r="B78" s="4" t="n">
        <v>1</v>
      </c>
      <c r="C78" s="4" t="inlineStr">
        <is>
          <t>⊏ 8×200 ......... 8057.5</t>
        </is>
      </c>
      <c r="D78" s="4" t="inlineStr">
        <is>
          <t>S235JR</t>
        </is>
      </c>
      <c r="E78" s="4" t="n">
        <v>101.4</v>
      </c>
      <c r="F78" s="4" t="n">
        <v>101.4</v>
      </c>
      <c r="G78" s="4" t="inlineStr">
        <is>
          <t>Kesim</t>
        </is>
      </c>
    </row>
    <row r="79">
      <c r="A79" s="6" t="n">
        <v>6</v>
      </c>
      <c r="B79" s="6" t="n">
        <v>1</v>
      </c>
      <c r="C79" s="6" t="inlineStr">
        <is>
          <t>⊏ 8×200 ......... 1069.5</t>
        </is>
      </c>
      <c r="D79" s="6" t="inlineStr">
        <is>
          <t>S235JR</t>
        </is>
      </c>
      <c r="E79" s="6" t="n">
        <v>13.4</v>
      </c>
      <c r="F79" s="6" t="n">
        <v>13.4</v>
      </c>
      <c r="G79" s="6" t="inlineStr">
        <is>
          <t>Kesim</t>
        </is>
      </c>
    </row>
    <row r="80">
      <c r="A80" s="4" t="n">
        <v>7</v>
      </c>
      <c r="B80" s="4" t="n">
        <v>1</v>
      </c>
      <c r="C80" s="4" t="inlineStr">
        <is>
          <t>⊏ 8×200 ......... 6603.5</t>
        </is>
      </c>
      <c r="D80" s="4" t="inlineStr">
        <is>
          <t>S235JR</t>
        </is>
      </c>
      <c r="E80" s="4" t="n">
        <v>82.90000000000001</v>
      </c>
      <c r="F80" s="4" t="n">
        <v>82.90000000000001</v>
      </c>
      <c r="G80" s="4" t="inlineStr">
        <is>
          <t>Kesim</t>
        </is>
      </c>
    </row>
    <row r="81">
      <c r="A81" s="6" t="n">
        <v>8</v>
      </c>
      <c r="B81" s="6" t="n">
        <v>1</v>
      </c>
      <c r="C81" s="6" t="inlineStr">
        <is>
          <t>⊏ 8×200 ......... 1002.5</t>
        </is>
      </c>
      <c r="D81" s="6" t="inlineStr">
        <is>
          <t>S235JR</t>
        </is>
      </c>
      <c r="E81" s="6" t="n">
        <v>12.6</v>
      </c>
      <c r="F81" s="6" t="n">
        <v>12.6</v>
      </c>
      <c r="G81" s="6" t="inlineStr">
        <is>
          <t>Kesim</t>
        </is>
      </c>
    </row>
    <row r="82">
      <c r="A82" s="4" t="n">
        <v>9</v>
      </c>
      <c r="B82" s="4" t="n">
        <v>37</v>
      </c>
      <c r="C82" s="4" t="inlineStr">
        <is>
          <t>L60×6 ......... 1079</t>
        </is>
      </c>
      <c r="D82" s="4" t="inlineStr">
        <is>
          <t>S235JR</t>
        </is>
      </c>
      <c r="E82" s="4" t="n">
        <v>5.4</v>
      </c>
      <c r="F82" s="4" t="n">
        <v>248.4</v>
      </c>
      <c r="G82" s="4" t="inlineStr">
        <is>
          <t>Kesim</t>
        </is>
      </c>
    </row>
    <row r="83">
      <c r="A83" s="6" t="n">
        <v>10</v>
      </c>
      <c r="B83" s="6" t="n">
        <v>1</v>
      </c>
      <c r="C83" s="6" t="inlineStr">
        <is>
          <t>⊏ 8×200 ......... 750</t>
        </is>
      </c>
      <c r="D83" s="6" t="inlineStr">
        <is>
          <t>S235JR</t>
        </is>
      </c>
      <c r="E83" s="6" t="n">
        <v>9.4</v>
      </c>
      <c r="F83" s="6" t="n">
        <v>9.4</v>
      </c>
      <c r="G83" s="6" t="inlineStr">
        <is>
          <t>Kesim</t>
        </is>
      </c>
    </row>
    <row r="84">
      <c r="A84" s="4" t="n">
        <v>11</v>
      </c>
      <c r="B84" s="4" t="n">
        <v>1</v>
      </c>
      <c r="C84" s="4" t="inlineStr">
        <is>
          <t>NPU100 ......... 1080</t>
        </is>
      </c>
      <c r="D84" s="4" t="inlineStr">
        <is>
          <t>S235JR</t>
        </is>
      </c>
      <c r="E84" s="4" t="n">
        <v>11.5</v>
      </c>
      <c r="F84" s="4" t="n">
        <v>138</v>
      </c>
      <c r="G84" s="4" t="inlineStr">
        <is>
          <t>Kesim</t>
        </is>
      </c>
    </row>
    <row r="85">
      <c r="A85" s="6" t="n">
        <v>12</v>
      </c>
      <c r="B85" s="6" t="n">
        <v>12</v>
      </c>
      <c r="C85" s="6" t="inlineStr">
        <is>
          <t>NPU100 ......... 1178.5</t>
        </is>
      </c>
      <c r="D85" s="6" t="inlineStr">
        <is>
          <t>S235JR</t>
        </is>
      </c>
      <c r="E85" s="6" t="n">
        <v>12.5</v>
      </c>
      <c r="F85" s="6" t="n">
        <v>150</v>
      </c>
      <c r="G85" s="6" t="inlineStr">
        <is>
          <t>Kesim</t>
        </is>
      </c>
    </row>
    <row r="86">
      <c r="A86" s="4" t="n">
        <v>13</v>
      </c>
      <c r="B86" s="4" t="n">
        <v>24</v>
      </c>
      <c r="C86" s="4" t="inlineStr">
        <is>
          <t>⊏ 8×100 ......... 260</t>
        </is>
      </c>
      <c r="D86" s="4" t="inlineStr">
        <is>
          <t>S355J2</t>
        </is>
      </c>
      <c r="E86" s="4" t="n">
        <v>1.6</v>
      </c>
      <c r="F86" s="4" t="n">
        <v>38.4</v>
      </c>
      <c r="G86" s="4" t="inlineStr">
        <is>
          <t>Kesim</t>
        </is>
      </c>
    </row>
    <row r="87">
      <c r="A87" s="6" t="n">
        <v>14</v>
      </c>
      <c r="B87" s="6" t="n">
        <v>22</v>
      </c>
      <c r="C87" s="6" t="inlineStr">
        <is>
          <t>L60×6 ......... 325.5</t>
        </is>
      </c>
      <c r="D87" s="6" t="inlineStr">
        <is>
          <t>S235JR</t>
        </is>
      </c>
      <c r="E87" s="6" t="n">
        <v>1.7</v>
      </c>
      <c r="F87" s="6" t="n">
        <v>37.4</v>
      </c>
      <c r="G87" s="6" t="inlineStr">
        <is>
          <t>Kesim</t>
        </is>
      </c>
    </row>
    <row r="88">
      <c r="A88" s="4" t="inlineStr">
        <is>
          <t>14A</t>
        </is>
      </c>
      <c r="B88" s="4" t="n">
        <v>2</v>
      </c>
      <c r="C88" s="4" t="inlineStr">
        <is>
          <t>L60×6 ......... 325.5</t>
        </is>
      </c>
      <c r="D88" s="4" t="inlineStr">
        <is>
          <t>S235JR</t>
        </is>
      </c>
      <c r="E88" s="4" t="n">
        <v>1.7</v>
      </c>
      <c r="F88" s="4" t="n">
        <v>3.4</v>
      </c>
      <c r="G88" s="4" t="inlineStr">
        <is>
          <t>Kesim</t>
        </is>
      </c>
    </row>
    <row r="89">
      <c r="A89" s="6" t="n">
        <v>15</v>
      </c>
      <c r="B89" s="6" t="n">
        <v>12</v>
      </c>
      <c r="C89" s="6" t="inlineStr">
        <is>
          <t>⊏ 8×70 ......... 180</t>
        </is>
      </c>
      <c r="D89" s="6" t="inlineStr">
        <is>
          <t>S235JR</t>
        </is>
      </c>
      <c r="E89" s="6" t="n">
        <v>0.8</v>
      </c>
      <c r="F89" s="6" t="n">
        <v>9.6</v>
      </c>
      <c r="G89" s="6" t="inlineStr">
        <is>
          <t>Kesim</t>
        </is>
      </c>
    </row>
    <row r="90">
      <c r="A90" s="4" t="n">
        <v>16</v>
      </c>
      <c r="B90" s="4" t="n">
        <v>2</v>
      </c>
      <c r="C90" s="4" t="inlineStr">
        <is>
          <t>L60×6 ......... 899.5</t>
        </is>
      </c>
      <c r="D90" s="4" t="inlineStr">
        <is>
          <t>S235JR</t>
        </is>
      </c>
      <c r="E90" s="4" t="n">
        <v>4.9</v>
      </c>
      <c r="F90" s="4" t="n">
        <v>9.800000000000001</v>
      </c>
      <c r="G90" s="4" t="inlineStr">
        <is>
          <t>Kesim</t>
        </is>
      </c>
    </row>
    <row r="91">
      <c r="A91" s="6" t="n">
        <v>17</v>
      </c>
      <c r="B91" s="6" t="n">
        <v>4</v>
      </c>
      <c r="C91" s="6" t="inlineStr">
        <is>
          <t>L60×6 ......... 630</t>
        </is>
      </c>
      <c r="D91" s="6" t="inlineStr">
        <is>
          <t>S235JR</t>
        </is>
      </c>
      <c r="E91" s="6" t="n">
        <v>5.4</v>
      </c>
      <c r="F91" s="6" t="n">
        <v>21.6</v>
      </c>
      <c r="G91" s="6" t="inlineStr">
        <is>
          <t>Kesim</t>
        </is>
      </c>
    </row>
    <row r="92">
      <c r="A92" s="4" t="n">
        <v>18</v>
      </c>
      <c r="B92" s="4" t="n">
        <v>2</v>
      </c>
      <c r="C92" s="4" t="inlineStr">
        <is>
          <t>L60×6 ......... 1002.5</t>
        </is>
      </c>
      <c r="D92" s="4" t="inlineStr">
        <is>
          <t>S235JR</t>
        </is>
      </c>
      <c r="E92" s="4" t="n">
        <v>5.5</v>
      </c>
      <c r="F92" s="4" t="n">
        <v>11</v>
      </c>
      <c r="G92" s="4" t="inlineStr">
        <is>
          <t>Kesim</t>
        </is>
      </c>
    </row>
    <row r="93">
      <c r="A93" s="6" t="n">
        <v>19</v>
      </c>
      <c r="B93" s="6" t="n">
        <v>5</v>
      </c>
      <c r="C93" s="6" t="inlineStr">
        <is>
          <t>L60×6 ......... 1238</t>
        </is>
      </c>
      <c r="D93" s="6" t="inlineStr">
        <is>
          <t>S235JR</t>
        </is>
      </c>
      <c r="E93" s="6" t="n">
        <v>5.4</v>
      </c>
      <c r="F93" s="6" t="n">
        <v>27</v>
      </c>
      <c r="G93" s="6" t="inlineStr">
        <is>
          <t>Kesim</t>
        </is>
      </c>
    </row>
    <row r="94">
      <c r="A94" s="4" t="n">
        <v>20</v>
      </c>
      <c r="B94" s="4" t="n">
        <v>26</v>
      </c>
      <c r="C94" s="4" t="inlineStr">
        <is>
          <t>L60×6 ......... 1020</t>
        </is>
      </c>
      <c r="D94" s="4" t="inlineStr">
        <is>
          <t>S235JR</t>
        </is>
      </c>
      <c r="E94" s="4" t="n">
        <v>5.4</v>
      </c>
      <c r="F94" s="4" t="n">
        <v>140.4</v>
      </c>
      <c r="G94" s="4" t="inlineStr">
        <is>
          <t>Kesim</t>
        </is>
      </c>
    </row>
    <row r="95">
      <c r="A95" s="6" t="n">
        <v>21</v>
      </c>
      <c r="B95" s="6" t="n">
        <v>1</v>
      </c>
      <c r="C95" s="6" t="inlineStr">
        <is>
          <t>HANDRAİL (1 1/4" STD.SCH PIPE) 70000</t>
        </is>
      </c>
      <c r="D95" s="6" t="inlineStr">
        <is>
          <t>S235JR</t>
        </is>
      </c>
      <c r="E95" s="6" t="n">
        <v>178.5</v>
      </c>
      <c r="F95" s="6" t="n">
        <v>178.5</v>
      </c>
      <c r="G95" s="6" t="inlineStr">
        <is>
          <t>Kesim+Bükme</t>
        </is>
      </c>
    </row>
    <row r="96">
      <c r="A96" s="4" t="n">
        <v>22</v>
      </c>
      <c r="B96" s="4" t="n">
        <v>1</v>
      </c>
      <c r="C96" s="4" t="inlineStr">
        <is>
          <t>⊏ 5×50 ......... 70000</t>
        </is>
      </c>
      <c r="D96" s="4" t="inlineStr">
        <is>
          <t>S235JR</t>
        </is>
      </c>
      <c r="E96" s="4" t="n">
        <v>137.5</v>
      </c>
      <c r="F96" s="4" t="n">
        <v>137.5</v>
      </c>
      <c r="G96" s="4" t="inlineStr">
        <is>
          <t>Kesim</t>
        </is>
      </c>
    </row>
    <row r="97">
      <c r="A97" s="6" t="n">
        <v>23</v>
      </c>
      <c r="B97" s="6" t="n">
        <v>1</v>
      </c>
      <c r="C97" s="6" t="inlineStr">
        <is>
          <t>⊏ 5×150 ......... 34000</t>
        </is>
      </c>
      <c r="D97" s="6" t="inlineStr">
        <is>
          <t>S235JR</t>
        </is>
      </c>
      <c r="E97" s="6" t="n">
        <v>200</v>
      </c>
      <c r="F97" s="6" t="n">
        <v>200</v>
      </c>
      <c r="G97" s="6" t="inlineStr">
        <is>
          <t>Kesim</t>
        </is>
      </c>
    </row>
    <row r="98">
      <c r="A98" s="4" t="n"/>
      <c r="B98" s="4" t="n">
        <v>48</v>
      </c>
      <c r="C98" s="4" t="inlineStr">
        <is>
          <t>M10×30  BOLT</t>
        </is>
      </c>
      <c r="D98" s="4" t="inlineStr">
        <is>
          <t>A193 GR B7</t>
        </is>
      </c>
      <c r="E98" s="4" t="inlineStr">
        <is>
          <t>–</t>
        </is>
      </c>
      <c r="F98" s="4" t="inlineStr">
        <is>
          <t>–</t>
        </is>
      </c>
      <c r="G98" s="4" t="inlineStr">
        <is>
          <t>Montaj</t>
        </is>
      </c>
    </row>
    <row r="99">
      <c r="A99" s="6" t="n"/>
      <c r="B99" s="6" t="n">
        <v>48</v>
      </c>
      <c r="C99" s="6" t="inlineStr">
        <is>
          <t>M10  NUT</t>
        </is>
      </c>
      <c r="D99" s="6" t="inlineStr">
        <is>
          <t>A194 GR 2H</t>
        </is>
      </c>
      <c r="E99" s="6" t="inlineStr">
        <is>
          <t>–</t>
        </is>
      </c>
      <c r="F99" s="6" t="inlineStr">
        <is>
          <t>–</t>
        </is>
      </c>
      <c r="G99" s="6" t="inlineStr">
        <is>
          <t>Montaj</t>
        </is>
      </c>
    </row>
    <row r="100">
      <c r="A100" s="4" t="n"/>
      <c r="B100" s="4" t="n">
        <v>48</v>
      </c>
      <c r="C100" s="4" t="inlineStr">
        <is>
          <t>M10  WASHER</t>
        </is>
      </c>
      <c r="D100" s="4" t="inlineStr">
        <is>
          <t>A194 GR 2H</t>
        </is>
      </c>
      <c r="E100" s="4" t="inlineStr">
        <is>
          <t>–</t>
        </is>
      </c>
      <c r="F100" s="4" t="inlineStr">
        <is>
          <t>–</t>
        </is>
      </c>
      <c r="G100" s="4" t="inlineStr">
        <is>
          <t>Montaj</t>
        </is>
      </c>
    </row>
    <row r="101">
      <c r="A101" s="6" t="n"/>
      <c r="B101" s="6" t="n">
        <v>136</v>
      </c>
      <c r="C101" s="6" t="inlineStr">
        <is>
          <t>M12×40  BOLT</t>
        </is>
      </c>
      <c r="D101" s="6" t="inlineStr">
        <is>
          <t>A193 GR B7</t>
        </is>
      </c>
      <c r="E101" s="6" t="inlineStr">
        <is>
          <t>–</t>
        </is>
      </c>
      <c r="F101" s="6" t="inlineStr">
        <is>
          <t>–</t>
        </is>
      </c>
      <c r="G101" s="6" t="inlineStr">
        <is>
          <t>Montaj</t>
        </is>
      </c>
    </row>
    <row r="102">
      <c r="A102" s="4" t="n"/>
      <c r="B102" s="4" t="n">
        <v>136</v>
      </c>
      <c r="C102" s="4" t="inlineStr">
        <is>
          <t>M12  NUT</t>
        </is>
      </c>
      <c r="D102" s="4" t="inlineStr">
        <is>
          <t>A194 GR 2H</t>
        </is>
      </c>
      <c r="E102" s="4" t="inlineStr">
        <is>
          <t>–</t>
        </is>
      </c>
      <c r="F102" s="4" t="inlineStr">
        <is>
          <t>–</t>
        </is>
      </c>
      <c r="G102" s="4" t="inlineStr">
        <is>
          <t>Montaj</t>
        </is>
      </c>
    </row>
    <row r="103">
      <c r="A103" s="6" t="n"/>
      <c r="B103" s="6" t="n">
        <v>136</v>
      </c>
      <c r="C103" s="6" t="inlineStr">
        <is>
          <t>M12  WASHER</t>
        </is>
      </c>
      <c r="D103" s="6" t="inlineStr">
        <is>
          <t>A194 GR 2H</t>
        </is>
      </c>
      <c r="E103" s="6" t="inlineStr">
        <is>
          <t>–</t>
        </is>
      </c>
      <c r="F103" s="6" t="inlineStr">
        <is>
          <t>–</t>
        </is>
      </c>
      <c r="G103" s="6" t="inlineStr">
        <is>
          <t>Montaj</t>
        </is>
      </c>
    </row>
    <row r="104">
      <c r="A104" s="8" t="inlineStr">
        <is>
          <t>TOPLAM AĞIRLIK: 1777.0 Kg</t>
        </is>
      </c>
      <c r="F104" s="9" t="n">
        <v>1777</v>
      </c>
      <c r="G104" s="9" t="inlineStr"/>
    </row>
    <row r="106" ht="18" customHeight="1">
      <c r="A106" s="7" t="inlineStr">
        <is>
          <t>MEKANİK SAMANDIRA (N14)  —  1 Adet  (A283 Gr.C + S.S. A316L)</t>
        </is>
      </c>
    </row>
    <row r="107" ht="30" customHeight="1">
      <c r="A107" s="2" t="inlineStr">
        <is>
          <t>POZ</t>
        </is>
      </c>
      <c r="B107" s="2" t="inlineStr">
        <is>
          <t>ADET</t>
        </is>
      </c>
      <c r="C107" s="2" t="inlineStr">
        <is>
          <t>AÇIKLAMA</t>
        </is>
      </c>
      <c r="D107" s="2" t="inlineStr">
        <is>
          <t>MALZEME</t>
        </is>
      </c>
      <c r="E107" s="2" t="inlineStr">
        <is>
          <t>BİRİM
AĞIRLIK(kg)</t>
        </is>
      </c>
      <c r="F107" s="2" t="inlineStr">
        <is>
          <t>TOPLAM
AĞIRLIK(kg)</t>
        </is>
      </c>
      <c r="G107" s="2" t="inlineStr">
        <is>
          <t>NOT</t>
        </is>
      </c>
    </row>
    <row r="108">
      <c r="A108" s="4" t="n">
        <v>1</v>
      </c>
      <c r="B108" s="4" t="n">
        <v>1</v>
      </c>
      <c r="C108" s="4" t="inlineStr">
        <is>
          <t>ø21 BORU ......... 26</t>
        </is>
      </c>
      <c r="D108" s="4" t="inlineStr">
        <is>
          <t>A 283 Gr.C</t>
        </is>
      </c>
      <c r="E108" s="4" t="inlineStr">
        <is>
          <t>–</t>
        </is>
      </c>
      <c r="F108" s="4" t="inlineStr">
        <is>
          <t>–</t>
        </is>
      </c>
      <c r="G108" s="4" t="inlineStr"/>
    </row>
    <row r="109">
      <c r="A109" s="6" t="n">
        <v>2</v>
      </c>
      <c r="B109" s="6" t="n">
        <v>2</v>
      </c>
      <c r="C109" s="6" t="inlineStr">
        <is>
          <t>ø27 BORU ......... 130</t>
        </is>
      </c>
      <c r="D109" s="6" t="inlineStr">
        <is>
          <t>S.S. A316L</t>
        </is>
      </c>
      <c r="E109" s="6" t="inlineStr">
        <is>
          <t>–</t>
        </is>
      </c>
      <c r="F109" s="6" t="inlineStr">
        <is>
          <t>–</t>
        </is>
      </c>
      <c r="G109" s="6" t="inlineStr"/>
    </row>
    <row r="110">
      <c r="A110" s="4" t="n">
        <v>3</v>
      </c>
      <c r="B110" s="4" t="n">
        <v>2</v>
      </c>
      <c r="C110" s="4" t="inlineStr">
        <is>
          <t>ø400×6 PLAKA</t>
        </is>
      </c>
      <c r="D110" s="4" t="inlineStr">
        <is>
          <t>S.S. A316L</t>
        </is>
      </c>
      <c r="E110" s="4" t="inlineStr">
        <is>
          <t>–</t>
        </is>
      </c>
      <c r="F110" s="4" t="inlineStr">
        <is>
          <t>–</t>
        </is>
      </c>
      <c r="G110" s="4" t="inlineStr"/>
    </row>
    <row r="111">
      <c r="A111" s="6" t="n">
        <v>4</v>
      </c>
      <c r="B111" s="6" t="n">
        <v>1</v>
      </c>
      <c r="C111" s="6" t="inlineStr">
        <is>
          <t>⊏ 300×6×1257 PLAKA</t>
        </is>
      </c>
      <c r="D111" s="6" t="inlineStr">
        <is>
          <t>S.S. A316L</t>
        </is>
      </c>
      <c r="E111" s="6" t="inlineStr">
        <is>
          <t>–</t>
        </is>
      </c>
      <c r="F111" s="6" t="inlineStr">
        <is>
          <t>–</t>
        </is>
      </c>
      <c r="G111" s="6" t="inlineStr"/>
    </row>
    <row r="112">
      <c r="A112" s="4" t="n">
        <v>5</v>
      </c>
      <c r="B112" s="4" t="n">
        <v>2</v>
      </c>
      <c r="C112" s="4" t="inlineStr">
        <is>
          <t>⊏ 100×6×100 PLAKA</t>
        </is>
      </c>
      <c r="D112" s="4" t="inlineStr">
        <is>
          <t>S.S. A316L</t>
        </is>
      </c>
      <c r="E112" s="4" t="inlineStr">
        <is>
          <t>–</t>
        </is>
      </c>
      <c r="F112" s="4" t="inlineStr">
        <is>
          <t>–</t>
        </is>
      </c>
      <c r="G112" s="4" t="inlineStr"/>
    </row>
    <row r="113">
      <c r="A113" s="6" t="n">
        <v>6</v>
      </c>
      <c r="B113" s="6" t="inlineStr">
        <is>
          <t>–</t>
        </is>
      </c>
      <c r="C113" s="6" t="inlineStr">
        <is>
          <t>⊏ 30×5×80 PLAKA</t>
        </is>
      </c>
      <c r="D113" s="6" t="inlineStr">
        <is>
          <t>A 283 Gr.C</t>
        </is>
      </c>
      <c r="E113" s="6" t="inlineStr">
        <is>
          <t>–</t>
        </is>
      </c>
      <c r="F113" s="6" t="inlineStr">
        <is>
          <t>–</t>
        </is>
      </c>
      <c r="G113" s="6" t="inlineStr"/>
    </row>
    <row r="114">
      <c r="A114" s="4" t="n">
        <v>7</v>
      </c>
      <c r="B114" s="4" t="inlineStr">
        <is>
          <t>–</t>
        </is>
      </c>
      <c r="C114" s="4" t="inlineStr">
        <is>
          <t>⊏ 50×10×298 PLAKA</t>
        </is>
      </c>
      <c r="D114" s="4" t="inlineStr">
        <is>
          <t>A 283 Gr.C</t>
        </is>
      </c>
      <c r="E114" s="4" t="inlineStr">
        <is>
          <t>–</t>
        </is>
      </c>
      <c r="F114" s="4" t="inlineStr">
        <is>
          <t>–</t>
        </is>
      </c>
      <c r="G114" s="4" t="inlineStr"/>
    </row>
    <row r="115">
      <c r="A115" s="6" t="n">
        <v>8</v>
      </c>
      <c r="B115" s="6" t="inlineStr">
        <is>
          <t>–</t>
        </is>
      </c>
      <c r="C115" s="6" t="inlineStr">
        <is>
          <t>⊏ 50×10×292 PLAKA</t>
        </is>
      </c>
      <c r="D115" s="6" t="inlineStr">
        <is>
          <t>A 283 Gr.C</t>
        </is>
      </c>
      <c r="E115" s="6" t="inlineStr">
        <is>
          <t>–</t>
        </is>
      </c>
      <c r="F115" s="6" t="inlineStr">
        <is>
          <t>–</t>
        </is>
      </c>
      <c r="G115" s="6" t="inlineStr"/>
    </row>
    <row r="116">
      <c r="A116" s="4" t="n">
        <v>9</v>
      </c>
      <c r="B116" s="4" t="inlineStr">
        <is>
          <t>–</t>
        </is>
      </c>
      <c r="C116" s="4" t="inlineStr">
        <is>
          <t>⊏ 50×5×268 PLAKA</t>
        </is>
      </c>
      <c r="D116" s="4" t="inlineStr">
        <is>
          <t>A 283 Gr.C</t>
        </is>
      </c>
      <c r="E116" s="4" t="inlineStr">
        <is>
          <t>–</t>
        </is>
      </c>
      <c r="F116" s="4" t="inlineStr">
        <is>
          <t>–</t>
        </is>
      </c>
      <c r="G116" s="4" t="inlineStr"/>
    </row>
    <row r="117">
      <c r="A117" s="6" t="n">
        <v>10</v>
      </c>
      <c r="B117" s="6" t="n">
        <v>1</v>
      </c>
      <c r="C117" s="6" t="inlineStr">
        <is>
          <t>⊏ 200×2×9000 PLAKA  (Seviye Göstergesi)</t>
        </is>
      </c>
      <c r="D117" s="6" t="inlineStr">
        <is>
          <t>A 283 Gr.C</t>
        </is>
      </c>
      <c r="E117" s="6" t="inlineStr">
        <is>
          <t>–</t>
        </is>
      </c>
      <c r="F117" s="6" t="inlineStr">
        <is>
          <t>–</t>
        </is>
      </c>
      <c r="G117" s="6" t="inlineStr"/>
    </row>
    <row r="118">
      <c r="A118" s="4" t="n">
        <v>11</v>
      </c>
      <c r="B118" s="4" t="inlineStr">
        <is>
          <t>–</t>
        </is>
      </c>
      <c r="C118" s="4" t="inlineStr">
        <is>
          <t>⊏ 50×2×200 PLAKA</t>
        </is>
      </c>
      <c r="D118" s="4" t="inlineStr">
        <is>
          <t>A 283 Gr.C</t>
        </is>
      </c>
      <c r="E118" s="4" t="inlineStr">
        <is>
          <t>–</t>
        </is>
      </c>
      <c r="F118" s="4" t="inlineStr">
        <is>
          <t>–</t>
        </is>
      </c>
      <c r="G118" s="4" t="inlineStr"/>
    </row>
    <row r="119">
      <c r="A119" s="6" t="n">
        <v>12</v>
      </c>
      <c r="B119" s="6" t="n">
        <v>3</v>
      </c>
      <c r="C119" s="6" t="inlineStr">
        <is>
          <t>L 60×60×6×9514 PROFİL</t>
        </is>
      </c>
      <c r="D119" s="6" t="inlineStr">
        <is>
          <t>A 283 Gr.C</t>
        </is>
      </c>
      <c r="E119" s="6" t="inlineStr">
        <is>
          <t>–</t>
        </is>
      </c>
      <c r="F119" s="6" t="inlineStr">
        <is>
          <t>–</t>
        </is>
      </c>
      <c r="G119" s="6" t="inlineStr"/>
    </row>
    <row r="120">
      <c r="A120" s="4" t="n">
        <v>13</v>
      </c>
      <c r="B120" s="4" t="n">
        <v>1</v>
      </c>
      <c r="C120" s="4" t="inlineStr">
        <is>
          <t>[ 140×7×625 PROFİL</t>
        </is>
      </c>
      <c r="D120" s="4" t="inlineStr">
        <is>
          <t>A 283 Gr.C</t>
        </is>
      </c>
      <c r="E120" s="4" t="inlineStr">
        <is>
          <t>–</t>
        </is>
      </c>
      <c r="F120" s="4" t="inlineStr">
        <is>
          <t>–</t>
        </is>
      </c>
      <c r="G120" s="4" t="inlineStr"/>
    </row>
    <row r="121">
      <c r="A121" s="6" t="n">
        <v>14</v>
      </c>
      <c r="B121" s="6" t="n">
        <v>2</v>
      </c>
      <c r="C121" s="6" t="inlineStr">
        <is>
          <t>ø50 MAKARA</t>
        </is>
      </c>
      <c r="D121" s="6" t="inlineStr">
        <is>
          <t>A 283 Gr.C</t>
        </is>
      </c>
      <c r="E121" s="6" t="inlineStr">
        <is>
          <t>–</t>
        </is>
      </c>
      <c r="F121" s="6" t="inlineStr">
        <is>
          <t>–</t>
        </is>
      </c>
      <c r="G121" s="6" t="inlineStr"/>
    </row>
    <row r="122">
      <c r="A122" s="4" t="n">
        <v>15</v>
      </c>
      <c r="B122" s="4" t="n">
        <v>4</v>
      </c>
      <c r="C122" s="4" t="inlineStr">
        <is>
          <t>⊏ 30×5×60 PLAKA</t>
        </is>
      </c>
      <c r="D122" s="4" t="inlineStr">
        <is>
          <t>A 283 Gr.C</t>
        </is>
      </c>
      <c r="E122" s="4" t="inlineStr">
        <is>
          <t>–</t>
        </is>
      </c>
      <c r="F122" s="4" t="inlineStr">
        <is>
          <t>–</t>
        </is>
      </c>
      <c r="G122" s="4" t="inlineStr"/>
    </row>
    <row r="123">
      <c r="A123" s="6" t="n">
        <v>16</v>
      </c>
      <c r="B123" s="6" t="n">
        <v>1</v>
      </c>
      <c r="C123" s="6" t="inlineStr">
        <is>
          <t>⊏ 150×15×300 PLAKA</t>
        </is>
      </c>
      <c r="D123" s="6" t="inlineStr">
        <is>
          <t>A 283 Gr.C</t>
        </is>
      </c>
      <c r="E123" s="6" t="inlineStr">
        <is>
          <t>–</t>
        </is>
      </c>
      <c r="F123" s="6" t="inlineStr">
        <is>
          <t>–</t>
        </is>
      </c>
      <c r="G123" s="6" t="inlineStr"/>
    </row>
    <row r="124">
      <c r="A124" s="4" t="n">
        <v>17</v>
      </c>
      <c r="B124" s="4" t="n">
        <v>8</v>
      </c>
      <c r="C124" s="4" t="inlineStr">
        <is>
          <t>⊏ 30×3×60 PLAKA</t>
        </is>
      </c>
      <c r="D124" s="4" t="inlineStr">
        <is>
          <t>A 283 Gr.C</t>
        </is>
      </c>
      <c r="E124" s="4" t="inlineStr">
        <is>
          <t>–</t>
        </is>
      </c>
      <c r="F124" s="4" t="inlineStr">
        <is>
          <t>–</t>
        </is>
      </c>
      <c r="G124" s="4" t="inlineStr"/>
    </row>
    <row r="125">
      <c r="A125" s="6" t="n">
        <v>18</v>
      </c>
      <c r="B125" s="6" t="inlineStr">
        <is>
          <t>–</t>
        </is>
      </c>
      <c r="C125" s="6" t="inlineStr">
        <is>
          <t>ø5×20 mm KONİK VİDA / PUL</t>
        </is>
      </c>
      <c r="D125" s="6" t="inlineStr">
        <is>
          <t>A 283 Gr.C</t>
        </is>
      </c>
      <c r="E125" s="6" t="inlineStr">
        <is>
          <t>–</t>
        </is>
      </c>
      <c r="F125" s="6" t="inlineStr">
        <is>
          <t>–</t>
        </is>
      </c>
      <c r="G125" s="6" t="inlineStr"/>
    </row>
    <row r="126">
      <c r="A126" s="4" t="n">
        <v>19</v>
      </c>
      <c r="B126" s="4" t="n">
        <v>2</v>
      </c>
      <c r="C126" s="4" t="inlineStr">
        <is>
          <t>M8 SAPLAMA-SOMUN</t>
        </is>
      </c>
      <c r="D126" s="4" t="inlineStr">
        <is>
          <t>A 283 Gr.C</t>
        </is>
      </c>
      <c r="E126" s="4" t="inlineStr">
        <is>
          <t>–</t>
        </is>
      </c>
      <c r="F126" s="4" t="inlineStr">
        <is>
          <t>–</t>
        </is>
      </c>
      <c r="G126" s="4" t="inlineStr"/>
    </row>
    <row r="127">
      <c r="A127" s="6" t="n">
        <v>20</v>
      </c>
      <c r="B127" s="6" t="n">
        <v>2</v>
      </c>
      <c r="C127" s="6" t="inlineStr">
        <is>
          <t>M18 SAPLAMA-SOMUN</t>
        </is>
      </c>
      <c r="D127" s="6" t="inlineStr">
        <is>
          <t>A 283 Gr.C</t>
        </is>
      </c>
      <c r="E127" s="6" t="inlineStr">
        <is>
          <t>–</t>
        </is>
      </c>
      <c r="F127" s="6" t="inlineStr">
        <is>
          <t>–</t>
        </is>
      </c>
      <c r="G127" s="6" t="inlineStr"/>
    </row>
    <row r="128">
      <c r="A128" s="4" t="n">
        <v>21</v>
      </c>
      <c r="B128" s="4" t="n">
        <v>1</v>
      </c>
      <c r="C128" s="4" t="inlineStr">
        <is>
          <t>ø8 ÇELİK HALAT</t>
        </is>
      </c>
      <c r="D128" s="4" t="inlineStr">
        <is>
          <t>–</t>
        </is>
      </c>
      <c r="E128" s="4" t="inlineStr">
        <is>
          <t>–</t>
        </is>
      </c>
      <c r="F128" s="4" t="inlineStr">
        <is>
          <t>–</t>
        </is>
      </c>
      <c r="G128" s="4" t="inlineStr"/>
    </row>
    <row r="129">
      <c r="A129" s="6" t="n">
        <v>22</v>
      </c>
      <c r="B129" s="6" t="n">
        <v>2</v>
      </c>
      <c r="C129" s="6" t="inlineStr">
        <is>
          <t>ø12 ÇELİK HALAT</t>
        </is>
      </c>
      <c r="D129" s="6" t="inlineStr">
        <is>
          <t>–</t>
        </is>
      </c>
      <c r="E129" s="6" t="inlineStr">
        <is>
          <t>–</t>
        </is>
      </c>
      <c r="F129" s="6" t="inlineStr">
        <is>
          <t>–</t>
        </is>
      </c>
      <c r="G129" s="6" t="inlineStr"/>
    </row>
    <row r="130">
      <c r="A130" s="4" t="n">
        <v>23</v>
      </c>
      <c r="B130" s="4" t="n">
        <v>4</v>
      </c>
      <c r="C130" s="4" t="inlineStr">
        <is>
          <t>ø12 DEMİR</t>
        </is>
      </c>
      <c r="D130" s="4" t="inlineStr">
        <is>
          <t>S.S. A316L</t>
        </is>
      </c>
      <c r="E130" s="4" t="inlineStr">
        <is>
          <t>–</t>
        </is>
      </c>
      <c r="F130" s="4" t="inlineStr">
        <is>
          <t>–</t>
        </is>
      </c>
      <c r="G130" s="4" t="inlineStr"/>
    </row>
    <row r="131">
      <c r="A131" s="6" t="n">
        <v>24</v>
      </c>
      <c r="B131" s="6" t="n">
        <v>8</v>
      </c>
      <c r="C131" s="6" t="inlineStr">
        <is>
          <t>HALAT KLEMENSİ</t>
        </is>
      </c>
      <c r="D131" s="6" t="inlineStr">
        <is>
          <t>S.S. A316L</t>
        </is>
      </c>
      <c r="E131" s="6" t="inlineStr">
        <is>
          <t>–</t>
        </is>
      </c>
      <c r="F131" s="6" t="inlineStr">
        <is>
          <t>–</t>
        </is>
      </c>
      <c r="G131" s="6" t="inlineStr"/>
    </row>
    <row r="132">
      <c r="A132" s="4" t="n">
        <v>25</v>
      </c>
      <c r="B132" s="4" t="inlineStr">
        <is>
          <t>–</t>
        </is>
      </c>
      <c r="C132" s="4" t="inlineStr">
        <is>
          <t>L 60×60×6×195 PROFİL</t>
        </is>
      </c>
      <c r="D132" s="4" t="inlineStr">
        <is>
          <t>A 283 Gr.C</t>
        </is>
      </c>
      <c r="E132" s="4" t="inlineStr">
        <is>
          <t>–</t>
        </is>
      </c>
      <c r="F132" s="4" t="inlineStr">
        <is>
          <t>–</t>
        </is>
      </c>
      <c r="G132" s="4" t="inlineStr"/>
    </row>
    <row r="133">
      <c r="A133" s="10" t="inlineStr">
        <is>
          <t>NOT: Malzeme listesi 1 adet samandıra için verilmiştir. Ağırlık değerleri çizimde belirtilmemiştir.</t>
        </is>
      </c>
    </row>
  </sheetData>
  <mergeCells count="13">
    <mergeCell ref="A39:E39"/>
    <mergeCell ref="A1:G1"/>
    <mergeCell ref="A62:E62"/>
    <mergeCell ref="A27:G27"/>
    <mergeCell ref="A106:G106"/>
    <mergeCell ref="A104:E104"/>
    <mergeCell ref="A25:E25"/>
    <mergeCell ref="A2:G2"/>
    <mergeCell ref="A72:G72"/>
    <mergeCell ref="A64:G64"/>
    <mergeCell ref="A41:G41"/>
    <mergeCell ref="A70:E70"/>
    <mergeCell ref="A133:G1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12" customWidth="1" min="4" max="4"/>
    <col width="10" customWidth="1" min="5" max="5"/>
    <col width="12" customWidth="1" min="6" max="6"/>
    <col width="14" customWidth="1" min="7" max="7"/>
    <col width="16" customWidth="1" min="8" max="8"/>
    <col width="18" customWidth="1" min="9" max="9"/>
  </cols>
  <sheetData>
    <row r="1" ht="24" customHeight="1">
      <c r="A1" s="1" t="inlineStr">
        <is>
          <t>KONİK ÇATI YAPISAL İSKELET MALZEME LİSTESİ  (TOPLAM: 5454.0 kg)</t>
        </is>
      </c>
    </row>
    <row r="2" ht="18" customHeight="1">
      <c r="A2" s="7" t="inlineStr">
        <is>
          <t>CK1  —  UNP240 Rafter  (12 çatım adedi)</t>
        </is>
      </c>
    </row>
    <row r="3" ht="35" customHeight="1">
      <c r="A3" s="2" t="inlineStr">
        <is>
          <t>POZ</t>
        </is>
      </c>
      <c r="B3" s="2" t="inlineStr">
        <is>
          <t>ADET
(1 asm)</t>
        </is>
      </c>
      <c r="C3" s="2" t="inlineStr">
        <is>
          <t>PROFİL / 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Kg</t>
        </is>
      </c>
      <c r="G3" s="2" t="inlineStr">
        <is>
          <t>1 ASM
TOPLAM kg</t>
        </is>
      </c>
      <c r="H3" s="2" t="inlineStr">
        <is>
          <t>×12
TOPLAM kg</t>
        </is>
      </c>
      <c r="I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155.5</v>
      </c>
      <c r="G4" s="4" t="n">
        <v>155.5</v>
      </c>
      <c r="H4" s="4" t="n">
        <v>1866</v>
      </c>
      <c r="I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3.6</v>
      </c>
      <c r="H5" s="6" t="n">
        <v>43.2</v>
      </c>
      <c r="I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PL10×95   Plaka</t>
        </is>
      </c>
      <c r="D6" s="4" t="inlineStr">
        <is>
          <t>S235JR</t>
        </is>
      </c>
      <c r="E6" s="4" t="n">
        <v>152</v>
      </c>
      <c r="F6" s="4" t="n">
        <v>1.3</v>
      </c>
      <c r="G6" s="4" t="n">
        <v>2.5</v>
      </c>
      <c r="H6" s="4" t="n">
        <v>30</v>
      </c>
      <c r="I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2.7</v>
      </c>
      <c r="H7" s="6" t="n">
        <v>32.4</v>
      </c>
      <c r="I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1.9</v>
      </c>
      <c r="H8" s="4" t="n">
        <v>22.8</v>
      </c>
      <c r="I8" s="4" t="inlineStr">
        <is>
          <t>Kesim+Kaynak</t>
        </is>
      </c>
    </row>
    <row r="9">
      <c r="A9" s="8" t="inlineStr">
        <is>
          <t>ALT TOPLAM  (×12):</t>
        </is>
      </c>
      <c r="H9" s="9" t="n">
        <v>1994.4</v>
      </c>
      <c r="I9" s="9" t="inlineStr"/>
    </row>
    <row r="11" ht="18" customHeight="1">
      <c r="A11" s="7" t="inlineStr">
        <is>
          <t>CK2  —  UNP240 Rafter  (12 çatım adedi)</t>
        </is>
      </c>
    </row>
    <row r="12" ht="35" customHeight="1">
      <c r="A12" s="2" t="inlineStr">
        <is>
          <t>POZ</t>
        </is>
      </c>
      <c r="B12" s="2" t="inlineStr">
        <is>
          <t>ADET
(1 asm)</t>
        </is>
      </c>
      <c r="C12" s="2" t="inlineStr">
        <is>
          <t>PROFİL / 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Kg</t>
        </is>
      </c>
      <c r="G12" s="2" t="inlineStr">
        <is>
          <t>1 ASM
TOPLAM kg</t>
        </is>
      </c>
      <c r="H12" s="2" t="inlineStr">
        <is>
          <t>×12
TOPLAM kg</t>
        </is>
      </c>
      <c r="I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155.5</v>
      </c>
      <c r="G13" s="4" t="n">
        <v>155.5</v>
      </c>
      <c r="H13" s="4" t="n">
        <v>1866</v>
      </c>
      <c r="I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3.6</v>
      </c>
      <c r="H14" s="6" t="n">
        <v>43.2</v>
      </c>
      <c r="I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PL10×95   Plaka</t>
        </is>
      </c>
      <c r="D15" s="4" t="inlineStr">
        <is>
          <t>S235JR</t>
        </is>
      </c>
      <c r="E15" s="4" t="n">
        <v>152</v>
      </c>
      <c r="F15" s="4" t="n">
        <v>1.3</v>
      </c>
      <c r="G15" s="4" t="n">
        <v>2.5</v>
      </c>
      <c r="H15" s="4" t="n">
        <v>30</v>
      </c>
      <c r="I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2.5</v>
      </c>
      <c r="G16" s="6" t="n">
        <v>2.5</v>
      </c>
      <c r="H16" s="6" t="n">
        <v>30</v>
      </c>
      <c r="I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</v>
      </c>
      <c r="H17" s="4" t="n">
        <v>24</v>
      </c>
      <c r="I17" s="4" t="inlineStr">
        <is>
          <t>Kesim+Kaynak</t>
        </is>
      </c>
    </row>
    <row r="18">
      <c r="A18" s="8" t="inlineStr">
        <is>
          <t>ALT TOPLAM  (×12):</t>
        </is>
      </c>
      <c r="H18" s="9" t="n">
        <v>1993.2</v>
      </c>
      <c r="I18" s="9" t="inlineStr"/>
    </row>
    <row r="20" ht="18" customHeight="1">
      <c r="A20" s="7" t="inlineStr">
        <is>
          <t>CK3  —  UNP200 Purlin  (24 adet)</t>
        </is>
      </c>
    </row>
    <row r="21" ht="35" customHeight="1">
      <c r="A21" s="2" t="inlineStr">
        <is>
          <t>POZ</t>
        </is>
      </c>
      <c r="B21" s="2" t="inlineStr">
        <is>
          <t>ADET
(1 asm)</t>
        </is>
      </c>
      <c r="C21" s="2" t="inlineStr">
        <is>
          <t>PROFİL / 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Kg</t>
        </is>
      </c>
      <c r="G21" s="2" t="inlineStr">
        <is>
          <t>1 ASM
TOPLAM kg</t>
        </is>
      </c>
      <c r="H21" s="2" t="inlineStr">
        <is>
          <t>×24
TOPLAM kg</t>
        </is>
      </c>
      <c r="I21" s="2" t="inlineStr">
        <is>
          <t>İŞLEM</t>
        </is>
      </c>
    </row>
    <row r="22">
      <c r="A22" s="4" t="inlineStr">
        <is>
          <t>P5</t>
        </is>
      </c>
      <c r="B22" s="4" t="n">
        <v>1</v>
      </c>
      <c r="C22" s="4" t="inlineStr">
        <is>
          <t>UNP200</t>
        </is>
      </c>
      <c r="D22" s="4" t="inlineStr">
        <is>
          <t>S235JR</t>
        </is>
      </c>
      <c r="E22" s="4" t="n">
        <v>1227</v>
      </c>
      <c r="F22" s="4" t="n">
        <v>31</v>
      </c>
      <c r="G22" s="4" t="n">
        <v>31</v>
      </c>
      <c r="H22" s="4" t="n">
        <v>744</v>
      </c>
      <c r="I22" s="4" t="inlineStr">
        <is>
          <t>Kesim+Kaynak</t>
        </is>
      </c>
    </row>
    <row r="23">
      <c r="A23" s="8" t="inlineStr">
        <is>
          <t>ALT TOPLAM  (×24):</t>
        </is>
      </c>
      <c r="H23" s="9" t="n">
        <v>744</v>
      </c>
      <c r="I23" s="9" t="inlineStr"/>
    </row>
    <row r="25" ht="18" customHeight="1">
      <c r="A25" s="7" t="inlineStr">
        <is>
          <t>CK4  —  UNP200 Purlin  (24 adet)</t>
        </is>
      </c>
    </row>
    <row r="26" ht="35" customHeight="1">
      <c r="A26" s="2" t="inlineStr">
        <is>
          <t>POZ</t>
        </is>
      </c>
      <c r="B26" s="2" t="inlineStr">
        <is>
          <t>ADET
(1 asm)</t>
        </is>
      </c>
      <c r="C26" s="2" t="inlineStr">
        <is>
          <t>PROFİL / AÇIKLAMA</t>
        </is>
      </c>
      <c r="D26" s="2" t="inlineStr">
        <is>
          <t>MALZEME</t>
        </is>
      </c>
      <c r="E26" s="2" t="inlineStr">
        <is>
          <t>BOY
(mm)</t>
        </is>
      </c>
      <c r="F26" s="2" t="inlineStr">
        <is>
          <t>BİRİM
Kg</t>
        </is>
      </c>
      <c r="G26" s="2" t="inlineStr">
        <is>
          <t>1 ASM
TOPLAM kg</t>
        </is>
      </c>
      <c r="H26" s="2" t="inlineStr">
        <is>
          <t>×24
TOPLAM kg</t>
        </is>
      </c>
      <c r="I26" s="2" t="inlineStr">
        <is>
          <t>İŞLEM</t>
        </is>
      </c>
    </row>
    <row r="27">
      <c r="A27" s="4" t="inlineStr">
        <is>
          <t>P6</t>
        </is>
      </c>
      <c r="B27" s="4" t="n">
        <v>1</v>
      </c>
      <c r="C27" s="4" t="inlineStr">
        <is>
          <t>UNP200</t>
        </is>
      </c>
      <c r="D27" s="4" t="inlineStr">
        <is>
          <t>S235JR</t>
        </is>
      </c>
      <c r="E27" s="4" t="n">
        <v>677</v>
      </c>
      <c r="F27" s="4" t="n">
        <v>17.1</v>
      </c>
      <c r="G27" s="4" t="n">
        <v>17.1</v>
      </c>
      <c r="H27" s="4" t="n">
        <v>410.4</v>
      </c>
      <c r="I27" s="4" t="inlineStr">
        <is>
          <t>Kesim+Kaynak</t>
        </is>
      </c>
    </row>
    <row r="28">
      <c r="A28" s="8" t="inlineStr">
        <is>
          <t>ALT TOPLAM  (×24):</t>
        </is>
      </c>
      <c r="H28" s="9" t="n">
        <v>410.4</v>
      </c>
      <c r="I28" s="9" t="inlineStr"/>
    </row>
    <row r="30" ht="18" customHeight="1">
      <c r="A30" s="7" t="inlineStr">
        <is>
          <t>KL1  —  Merkezi Kolon PIP 323.9×8  (1 adet)</t>
        </is>
      </c>
    </row>
    <row r="31" ht="35" customHeight="1">
      <c r="A31" s="2" t="inlineStr">
        <is>
          <t>POZ</t>
        </is>
      </c>
      <c r="B31" s="2" t="inlineStr">
        <is>
          <t>ADET
(1 asm)</t>
        </is>
      </c>
      <c r="C31" s="2" t="inlineStr">
        <is>
          <t>PROFİL / AÇIKLAMA</t>
        </is>
      </c>
      <c r="D31" s="2" t="inlineStr">
        <is>
          <t>MALZEME</t>
        </is>
      </c>
      <c r="E31" s="2" t="inlineStr">
        <is>
          <t>BOY
(mm)</t>
        </is>
      </c>
      <c r="F31" s="2" t="inlineStr">
        <is>
          <t>BİRİM
Kg</t>
        </is>
      </c>
      <c r="G31" s="2" t="inlineStr">
        <is>
          <t>1 ASM
TOPLAM kg</t>
        </is>
      </c>
      <c r="H31" s="2" t="inlineStr">
        <is>
          <t>×1
TOPLAM kg</t>
        </is>
      </c>
      <c r="I31" s="2" t="inlineStr">
        <is>
          <t>İŞLEM</t>
        </is>
      </c>
    </row>
    <row r="32">
      <c r="A32" s="4" t="inlineStr">
        <is>
          <t>P2</t>
        </is>
      </c>
      <c r="B32" s="4" t="n">
        <v>1</v>
      </c>
      <c r="C32" s="4" t="inlineStr">
        <is>
          <t>PIP 323.9×8  Boru</t>
        </is>
      </c>
      <c r="D32" s="4" t="inlineStr">
        <is>
          <t>S235JR</t>
        </is>
      </c>
      <c r="E32" s="4" t="n">
        <v>9369</v>
      </c>
      <c r="F32" s="4" t="n">
        <v>580.2</v>
      </c>
      <c r="G32" s="4" t="n">
        <v>580.2</v>
      </c>
      <c r="H32" s="4" t="n">
        <v>580.2</v>
      </c>
      <c r="I32" s="4" t="inlineStr">
        <is>
          <t>Kesim+Kaynak</t>
        </is>
      </c>
    </row>
    <row r="33">
      <c r="A33" s="6" t="inlineStr">
        <is>
          <t>P9</t>
        </is>
      </c>
      <c r="B33" s="6" t="n">
        <v>1</v>
      </c>
      <c r="C33" s="6" t="inlineStr">
        <is>
          <t>PL25×1800  Plaka</t>
        </is>
      </c>
      <c r="D33" s="6" t="inlineStr">
        <is>
          <t>S235JR</t>
        </is>
      </c>
      <c r="E33" s="6" t="n">
        <v>1800</v>
      </c>
      <c r="F33" s="6" t="n">
        <v>497.3</v>
      </c>
      <c r="G33" s="6" t="n">
        <v>497.3</v>
      </c>
      <c r="H33" s="6" t="n">
        <v>497.3</v>
      </c>
      <c r="I33" s="6" t="inlineStr">
        <is>
          <t>Kesim+Kaynak</t>
        </is>
      </c>
    </row>
    <row r="34">
      <c r="A34" s="4" t="inlineStr">
        <is>
          <t>P10</t>
        </is>
      </c>
      <c r="B34" s="4" t="n">
        <v>1</v>
      </c>
      <c r="C34" s="4" t="inlineStr">
        <is>
          <t>PL15×250   Plaka</t>
        </is>
      </c>
      <c r="D34" s="4" t="inlineStr">
        <is>
          <t>S235JR</t>
        </is>
      </c>
      <c r="E34" s="4" t="n">
        <v>4618</v>
      </c>
      <c r="F34" s="4" t="n">
        <v>137.1</v>
      </c>
      <c r="G34" s="4" t="n">
        <v>137.1</v>
      </c>
      <c r="H34" s="4" t="n">
        <v>137.1</v>
      </c>
      <c r="I34" s="4" t="inlineStr">
        <is>
          <t>Kesim+Kaynak</t>
        </is>
      </c>
    </row>
    <row r="35">
      <c r="A35" s="6" t="inlineStr">
        <is>
          <t>P11</t>
        </is>
      </c>
      <c r="B35" s="6" t="n">
        <v>1</v>
      </c>
      <c r="C35" s="6" t="inlineStr">
        <is>
          <t>PL10×200   Plaka</t>
        </is>
      </c>
      <c r="D35" s="6" t="inlineStr">
        <is>
          <t>S235JR</t>
        </is>
      </c>
      <c r="E35" s="6" t="n">
        <v>5341</v>
      </c>
      <c r="F35" s="6" t="n">
        <v>84.2</v>
      </c>
      <c r="G35" s="6" t="n">
        <v>84.2</v>
      </c>
      <c r="H35" s="6" t="n">
        <v>84.2</v>
      </c>
      <c r="I35" s="6" t="inlineStr">
        <is>
          <t>Kesim+Kaynak</t>
        </is>
      </c>
    </row>
    <row r="36">
      <c r="A36" s="4" t="inlineStr">
        <is>
          <t>P12</t>
        </is>
      </c>
      <c r="B36" s="4" t="n">
        <v>1</v>
      </c>
      <c r="C36" s="4" t="inlineStr">
        <is>
          <t>PL25×750   Plaka</t>
        </is>
      </c>
      <c r="D36" s="4" t="inlineStr">
        <is>
          <t>S235JR</t>
        </is>
      </c>
      <c r="E36" s="4" t="n">
        <v>750</v>
      </c>
      <c r="F36" s="4" t="n">
        <v>56</v>
      </c>
      <c r="G36" s="4" t="n">
        <v>56</v>
      </c>
      <c r="H36" s="4" t="n">
        <v>56</v>
      </c>
      <c r="I36" s="4" t="inlineStr">
        <is>
          <t>Kesim+Kaynak</t>
        </is>
      </c>
    </row>
    <row r="37">
      <c r="A37" s="6" t="inlineStr">
        <is>
          <t>P16</t>
        </is>
      </c>
      <c r="B37" s="6" t="n">
        <v>24</v>
      </c>
      <c r="C37" s="6" t="inlineStr">
        <is>
          <t>PL10×150   Plaka</t>
        </is>
      </c>
      <c r="D37" s="6" t="inlineStr">
        <is>
          <t>S235JR</t>
        </is>
      </c>
      <c r="E37" s="6" t="n">
        <v>250</v>
      </c>
      <c r="F37" s="6" t="n">
        <v>2.3</v>
      </c>
      <c r="G37" s="6" t="n">
        <v>55.3</v>
      </c>
      <c r="H37" s="6" t="n">
        <v>55.3</v>
      </c>
      <c r="I37" s="6" t="inlineStr">
        <is>
          <t>Kesim+Kaynak</t>
        </is>
      </c>
    </row>
    <row r="38">
      <c r="A38" s="4" t="inlineStr">
        <is>
          <t>P17</t>
        </is>
      </c>
      <c r="B38" s="4" t="n">
        <v>4</v>
      </c>
      <c r="C38" s="4" t="inlineStr">
        <is>
          <t>PL10×513   Plaka</t>
        </is>
      </c>
      <c r="D38" s="4" t="inlineStr">
        <is>
          <t>S235JR</t>
        </is>
      </c>
      <c r="E38" s="4" t="n">
        <v>675</v>
      </c>
      <c r="F38" s="4" t="n">
        <v>13.3</v>
      </c>
      <c r="G38" s="4" t="n">
        <v>53.2</v>
      </c>
      <c r="H38" s="4" t="n">
        <v>53.2</v>
      </c>
      <c r="I38" s="4" t="inlineStr">
        <is>
          <t>Kesim+Kaynak</t>
        </is>
      </c>
    </row>
    <row r="39">
      <c r="A39" s="6" t="inlineStr">
        <is>
          <t>P18</t>
        </is>
      </c>
      <c r="B39" s="6" t="n">
        <v>1</v>
      </c>
      <c r="C39" s="6" t="inlineStr">
        <is>
          <t>PL20×600   Plaka</t>
        </is>
      </c>
      <c r="D39" s="6" t="inlineStr">
        <is>
          <t>S235JR</t>
        </is>
      </c>
      <c r="E39" s="6" t="n">
        <v>600</v>
      </c>
      <c r="F39" s="6" t="n">
        <v>43.9</v>
      </c>
      <c r="G39" s="6" t="n">
        <v>43.9</v>
      </c>
      <c r="H39" s="6" t="n">
        <v>43.9</v>
      </c>
      <c r="I39" s="6" t="inlineStr">
        <is>
          <t>Kesim+Kaynak</t>
        </is>
      </c>
    </row>
    <row r="40">
      <c r="A40" s="8" t="inlineStr">
        <is>
          <t>ALT TOPLAM  (×1):</t>
        </is>
      </c>
      <c r="H40" s="9" t="n">
        <v>1507.2</v>
      </c>
      <c r="I40" s="9" t="inlineStr"/>
    </row>
    <row r="42" ht="18" customHeight="1">
      <c r="A42" s="7" t="inlineStr">
        <is>
          <t>W1  —  Ayak Gusset Grubu  (24 adet)</t>
        </is>
      </c>
    </row>
    <row r="43" ht="35" customHeight="1">
      <c r="A43" s="2" t="inlineStr">
        <is>
          <t>POZ</t>
        </is>
      </c>
      <c r="B43" s="2" t="inlineStr">
        <is>
          <t>ADET
(1 asm)</t>
        </is>
      </c>
      <c r="C43" s="2" t="inlineStr">
        <is>
          <t>PROFİL / AÇIKLAMA</t>
        </is>
      </c>
      <c r="D43" s="2" t="inlineStr">
        <is>
          <t>MALZEME</t>
        </is>
      </c>
      <c r="E43" s="2" t="inlineStr">
        <is>
          <t>BOY
(mm)</t>
        </is>
      </c>
      <c r="F43" s="2" t="inlineStr">
        <is>
          <t>BİRİM
Kg</t>
        </is>
      </c>
      <c r="G43" s="2" t="inlineStr">
        <is>
          <t>1 ASM
TOPLAM kg</t>
        </is>
      </c>
      <c r="H43" s="2" t="inlineStr">
        <is>
          <t>×24
TOPLAM kg</t>
        </is>
      </c>
      <c r="I43" s="2" t="inlineStr">
        <is>
          <t>İŞLEM</t>
        </is>
      </c>
    </row>
    <row r="44">
      <c r="A44" s="4" t="inlineStr">
        <is>
          <t>P3</t>
        </is>
      </c>
      <c r="B44" s="4" t="n">
        <v>1</v>
      </c>
      <c r="C44" s="4" t="inlineStr">
        <is>
          <t>PL10×300  Plaka</t>
        </is>
      </c>
      <c r="D44" s="4" t="inlineStr">
        <is>
          <t>S235JR</t>
        </is>
      </c>
      <c r="E44" s="4" t="n">
        <v>300</v>
      </c>
      <c r="F44" s="4" t="n">
        <v>7.1</v>
      </c>
      <c r="G44" s="4" t="n">
        <v>7.1</v>
      </c>
      <c r="H44" s="4" t="n">
        <v>170.4</v>
      </c>
      <c r="I44" s="4" t="inlineStr">
        <is>
          <t>Kesim+Kaynak</t>
        </is>
      </c>
    </row>
    <row r="45">
      <c r="A45" s="6" t="inlineStr">
        <is>
          <t>P13</t>
        </is>
      </c>
      <c r="B45" s="6" t="n">
        <v>1</v>
      </c>
      <c r="C45" s="6" t="inlineStr">
        <is>
          <t>PL10×200  Plaka</t>
        </is>
      </c>
      <c r="D45" s="6" t="inlineStr">
        <is>
          <t>S235JR</t>
        </is>
      </c>
      <c r="E45" s="6" t="n">
        <v>250</v>
      </c>
      <c r="F45" s="6" t="n">
        <v>3.9</v>
      </c>
      <c r="G45" s="6" t="n">
        <v>3.9</v>
      </c>
      <c r="H45" s="6" t="n">
        <v>93.59999999999999</v>
      </c>
      <c r="I45" s="6" t="inlineStr">
        <is>
          <t>Kesim+Kaynak</t>
        </is>
      </c>
    </row>
    <row r="46">
      <c r="A46" s="4" t="inlineStr">
        <is>
          <t>P14</t>
        </is>
      </c>
      <c r="B46" s="4" t="n">
        <v>1</v>
      </c>
      <c r="C46" s="4" t="inlineStr">
        <is>
          <t>PL10×200  Plaka</t>
        </is>
      </c>
      <c r="D46" s="4" t="inlineStr">
        <is>
          <t>S235JR</t>
        </is>
      </c>
      <c r="E46" s="4" t="n">
        <v>100</v>
      </c>
      <c r="F46" s="4" t="n">
        <v>1.6</v>
      </c>
      <c r="G46" s="4" t="n">
        <v>1.6</v>
      </c>
      <c r="H46" s="4" t="n">
        <v>38.4</v>
      </c>
      <c r="I46" s="4" t="inlineStr">
        <is>
          <t>Kesim+Kaynak</t>
        </is>
      </c>
    </row>
    <row r="47">
      <c r="A47" s="6" t="inlineStr">
        <is>
          <t>P15</t>
        </is>
      </c>
      <c r="B47" s="6" t="n">
        <v>1</v>
      </c>
      <c r="C47" s="6" t="inlineStr">
        <is>
          <t>PL10×248  Plaka</t>
        </is>
      </c>
      <c r="D47" s="6" t="inlineStr">
        <is>
          <t>S235JR</t>
        </is>
      </c>
      <c r="E47" s="6" t="n">
        <v>299</v>
      </c>
      <c r="F47" s="6" t="n">
        <v>4.2</v>
      </c>
      <c r="G47" s="6" t="n">
        <v>4.2</v>
      </c>
      <c r="H47" s="6" t="n">
        <v>100.8</v>
      </c>
      <c r="I47" s="6" t="inlineStr">
        <is>
          <t>Kesim+Kaynak</t>
        </is>
      </c>
    </row>
    <row r="48">
      <c r="A48" s="8" t="inlineStr">
        <is>
          <t>ALT TOPLAM  (×24):</t>
        </is>
      </c>
      <c r="H48" s="9" t="n">
        <v>403.2</v>
      </c>
      <c r="I48" s="9" t="inlineStr"/>
    </row>
    <row r="50" ht="18" customHeight="1">
      <c r="A50" s="7" t="inlineStr">
        <is>
          <t>W2  —  Üst Halka Plakası  (1 adet)</t>
        </is>
      </c>
    </row>
    <row r="51" ht="35" customHeight="1">
      <c r="A51" s="2" t="inlineStr">
        <is>
          <t>POZ</t>
        </is>
      </c>
      <c r="B51" s="2" t="inlineStr">
        <is>
          <t>ADET
(1 asm)</t>
        </is>
      </c>
      <c r="C51" s="2" t="inlineStr">
        <is>
          <t>PROFİL / AÇIKLAMA</t>
        </is>
      </c>
      <c r="D51" s="2" t="inlineStr">
        <is>
          <t>MALZEME</t>
        </is>
      </c>
      <c r="E51" s="2" t="inlineStr">
        <is>
          <t>BOY
(mm)</t>
        </is>
      </c>
      <c r="F51" s="2" t="inlineStr">
        <is>
          <t>BİRİM
Kg</t>
        </is>
      </c>
      <c r="G51" s="2" t="inlineStr">
        <is>
          <t>1 ASM
TOPLAM kg</t>
        </is>
      </c>
      <c r="H51" s="2" t="inlineStr">
        <is>
          <t>×1
TOPLAM kg</t>
        </is>
      </c>
      <c r="I51" s="2" t="inlineStr">
        <is>
          <t>İŞLEM</t>
        </is>
      </c>
    </row>
    <row r="52">
      <c r="A52" s="4" t="inlineStr">
        <is>
          <t>P4</t>
        </is>
      </c>
      <c r="B52" s="4" t="n">
        <v>1</v>
      </c>
      <c r="C52" s="4" t="inlineStr">
        <is>
          <t>PL15×750  Plaka</t>
        </is>
      </c>
      <c r="D52" s="4" t="inlineStr">
        <is>
          <t>S235JR</t>
        </is>
      </c>
      <c r="E52" s="4" t="n">
        <v>750</v>
      </c>
      <c r="F52" s="4" t="n">
        <v>51.6</v>
      </c>
      <c r="G52" s="4" t="n">
        <v>51.6</v>
      </c>
      <c r="H52" s="4" t="n">
        <v>51.6</v>
      </c>
      <c r="I52" s="4" t="inlineStr">
        <is>
          <t>Kesim+Kaynak</t>
        </is>
      </c>
    </row>
    <row r="53">
      <c r="A53" s="6" t="inlineStr">
        <is>
          <t>P19</t>
        </is>
      </c>
      <c r="B53" s="6" t="n">
        <v>1</v>
      </c>
      <c r="C53" s="6" t="inlineStr">
        <is>
          <t>PL15×100  Plaka</t>
        </is>
      </c>
      <c r="D53" s="6" t="inlineStr">
        <is>
          <t>S235JR</t>
        </is>
      </c>
      <c r="E53" s="6" t="n">
        <v>1916</v>
      </c>
      <c r="F53" s="6" t="n">
        <v>23</v>
      </c>
      <c r="G53" s="6" t="n">
        <v>23</v>
      </c>
      <c r="H53" s="6" t="n">
        <v>23</v>
      </c>
      <c r="I53" s="6" t="inlineStr">
        <is>
          <t>Kesim+Kaynak</t>
        </is>
      </c>
    </row>
    <row r="54">
      <c r="A54" s="8" t="inlineStr">
        <is>
          <t>ALT TOPLAM  (×1):</t>
        </is>
      </c>
      <c r="H54" s="9" t="n">
        <v>74.59999999999999</v>
      </c>
      <c r="I54" s="9" t="inlineStr"/>
    </row>
    <row r="56" ht="18" customHeight="1">
      <c r="A56" s="7" t="inlineStr">
        <is>
          <t>YC1  —  Yatay Çelik 1  (12 adet)</t>
        </is>
      </c>
    </row>
    <row r="57" ht="35" customHeight="1">
      <c r="A57" s="2" t="inlineStr">
        <is>
          <t>POZ</t>
        </is>
      </c>
      <c r="B57" s="2" t="inlineStr">
        <is>
          <t>ADET
(1 asm)</t>
        </is>
      </c>
      <c r="C57" s="2" t="inlineStr">
        <is>
          <t>PROFİL / AÇIKLAMA</t>
        </is>
      </c>
      <c r="D57" s="2" t="inlineStr">
        <is>
          <t>MALZEME</t>
        </is>
      </c>
      <c r="E57" s="2" t="inlineStr">
        <is>
          <t>BOY
(mm)</t>
        </is>
      </c>
      <c r="F57" s="2" t="inlineStr">
        <is>
          <t>BİRİM
Kg</t>
        </is>
      </c>
      <c r="G57" s="2" t="inlineStr">
        <is>
          <t>1 ASM
TOPLAM kg</t>
        </is>
      </c>
      <c r="H57" s="2" t="inlineStr">
        <is>
          <t>×12
TOPLAM kg</t>
        </is>
      </c>
      <c r="I57" s="2" t="inlineStr">
        <is>
          <t>İŞLEM</t>
        </is>
      </c>
    </row>
    <row r="58">
      <c r="A58" s="4" t="inlineStr">
        <is>
          <t>P7</t>
        </is>
      </c>
      <c r="B58" s="4" t="n">
        <v>1</v>
      </c>
      <c r="C58" s="4" t="inlineStr">
        <is>
          <t>L60×5  Köşebent</t>
        </is>
      </c>
      <c r="D58" s="4" t="inlineStr">
        <is>
          <t>S235JR</t>
        </is>
      </c>
      <c r="E58" s="4" t="n">
        <v>1931</v>
      </c>
      <c r="F58" s="4" t="n">
        <v>15.6</v>
      </c>
      <c r="G58" s="4" t="n">
        <v>15.6</v>
      </c>
      <c r="H58" s="4" t="n">
        <v>187.2</v>
      </c>
      <c r="I58" s="4" t="inlineStr">
        <is>
          <t>Kesim+Kaynak</t>
        </is>
      </c>
    </row>
    <row r="59">
      <c r="A59" s="8" t="inlineStr">
        <is>
          <t>ALT TOPLAM  (×12):</t>
        </is>
      </c>
      <c r="H59" s="9" t="n">
        <v>187.2</v>
      </c>
      <c r="I59" s="9" t="inlineStr"/>
    </row>
    <row r="61" ht="18" customHeight="1">
      <c r="A61" s="7" t="inlineStr">
        <is>
          <t>YC2  —  Yatay Çelik 2  (12 adet)</t>
        </is>
      </c>
    </row>
    <row r="62" ht="35" customHeight="1">
      <c r="A62" s="2" t="inlineStr">
        <is>
          <t>POZ</t>
        </is>
      </c>
      <c r="B62" s="2" t="inlineStr">
        <is>
          <t>ADET
(1 asm)</t>
        </is>
      </c>
      <c r="C62" s="2" t="inlineStr">
        <is>
          <t>PROFİL / AÇIKLAMA</t>
        </is>
      </c>
      <c r="D62" s="2" t="inlineStr">
        <is>
          <t>MALZEME</t>
        </is>
      </c>
      <c r="E62" s="2" t="inlineStr">
        <is>
          <t>BOY
(mm)</t>
        </is>
      </c>
      <c r="F62" s="2" t="inlineStr">
        <is>
          <t>BİRİM
Kg</t>
        </is>
      </c>
      <c r="G62" s="2" t="inlineStr">
        <is>
          <t>1 ASM
TOPLAM kg</t>
        </is>
      </c>
      <c r="H62" s="2" t="inlineStr">
        <is>
          <t>×12
TOPLAM kg</t>
        </is>
      </c>
      <c r="I62" s="2" t="inlineStr">
        <is>
          <t>İŞLEM</t>
        </is>
      </c>
    </row>
    <row r="63">
      <c r="A63" s="4" t="inlineStr">
        <is>
          <t>P8</t>
        </is>
      </c>
      <c r="B63" s="4" t="n">
        <v>1</v>
      </c>
      <c r="C63" s="4" t="inlineStr">
        <is>
          <t>L60×5  Köşebent</t>
        </is>
      </c>
      <c r="D63" s="4" t="inlineStr">
        <is>
          <t>S235JR</t>
        </is>
      </c>
      <c r="E63" s="4" t="n">
        <v>1954</v>
      </c>
      <c r="F63" s="4" t="n">
        <v>19.2</v>
      </c>
      <c r="G63" s="4" t="n">
        <v>19.2</v>
      </c>
      <c r="H63" s="4" t="n">
        <v>230.4</v>
      </c>
      <c r="I63" s="4" t="inlineStr">
        <is>
          <t>Kesim+Kaynak</t>
        </is>
      </c>
    </row>
    <row r="64">
      <c r="A64" s="8" t="inlineStr">
        <is>
          <t>ALT TOPLAM  (×12):</t>
        </is>
      </c>
      <c r="H64" s="9" t="n">
        <v>230.4</v>
      </c>
      <c r="I64" s="9" t="inlineStr"/>
    </row>
    <row r="66">
      <c r="A66" s="10" t="inlineStr">
        <is>
          <t>NOT: Çizimden alınan TOPLAM AĞIRLIK = 5454.0 Kg  (1 komple çatı iskeleti için verilmiştir).</t>
        </is>
      </c>
    </row>
    <row r="68" ht="18" customHeight="1">
      <c r="A68" s="7" t="inlineStr">
        <is>
          <t>ÇATIM CİVATA-SOMUN-RONDELA LİSTESİ  (Standart: DIN 7990 / 7989 / 4032)</t>
        </is>
      </c>
    </row>
    <row r="69" ht="25" customHeight="1">
      <c r="A69" s="2" t="inlineStr">
        <is>
          <t>CİVATA TANIMI</t>
        </is>
      </c>
      <c r="B69" s="2" t="inlineStr">
        <is>
          <t>ÇATIM-1</t>
        </is>
      </c>
      <c r="C69" s="2" t="inlineStr">
        <is>
          <t>ÇATIM-2</t>
        </is>
      </c>
      <c r="D69" s="2" t="inlineStr">
        <is>
          <t>MALZEME
SINIFI</t>
        </is>
      </c>
      <c r="E69" s="2" t="inlineStr">
        <is>
          <t>ADET</t>
        </is>
      </c>
      <c r="F69" s="2" t="inlineStr">
        <is>
          <t>STANDART</t>
        </is>
      </c>
    </row>
    <row r="70">
      <c r="A70" s="4" t="inlineStr">
        <is>
          <t>BOLT 16×45</t>
        </is>
      </c>
      <c r="B70" s="4" t="inlineStr">
        <is>
          <t>CK3</t>
        </is>
      </c>
      <c r="C70" s="4" t="inlineStr">
        <is>
          <t>CK1</t>
        </is>
      </c>
      <c r="D70" s="4" t="inlineStr">
        <is>
          <t>8.8</t>
        </is>
      </c>
      <c r="E70" s="4" t="n">
        <v>48</v>
      </c>
      <c r="F70" s="4" t="inlineStr">
        <is>
          <t>7990/7989/4032</t>
        </is>
      </c>
    </row>
    <row r="71">
      <c r="A71" s="6" t="inlineStr">
        <is>
          <t>BOLT 16×45</t>
        </is>
      </c>
      <c r="B71" s="6" t="inlineStr">
        <is>
          <t>CK3</t>
        </is>
      </c>
      <c r="C71" s="6" t="inlineStr">
        <is>
          <t>CK2</t>
        </is>
      </c>
      <c r="D71" s="6" t="inlineStr">
        <is>
          <t>8.8</t>
        </is>
      </c>
      <c r="E71" s="6" t="n">
        <v>48</v>
      </c>
      <c r="F71" s="6" t="inlineStr">
        <is>
          <t>7990/7989/4032</t>
        </is>
      </c>
    </row>
    <row r="72">
      <c r="A72" s="4" t="inlineStr">
        <is>
          <t>BOLT 16×45</t>
        </is>
      </c>
      <c r="B72" s="4" t="inlineStr">
        <is>
          <t>CK4</t>
        </is>
      </c>
      <c r="C72" s="4" t="inlineStr">
        <is>
          <t>CK1</t>
        </is>
      </c>
      <c r="D72" s="4" t="inlineStr">
        <is>
          <t>8.8</t>
        </is>
      </c>
      <c r="E72" s="4" t="n">
        <v>48</v>
      </c>
      <c r="F72" s="4" t="inlineStr">
        <is>
          <t>7990/7989/4032</t>
        </is>
      </c>
    </row>
    <row r="73">
      <c r="A73" s="6" t="inlineStr">
        <is>
          <t>BOLT 16×45</t>
        </is>
      </c>
      <c r="B73" s="6" t="inlineStr">
        <is>
          <t>CK4</t>
        </is>
      </c>
      <c r="C73" s="6" t="inlineStr">
        <is>
          <t>CK2</t>
        </is>
      </c>
      <c r="D73" s="6" t="inlineStr">
        <is>
          <t>8.8</t>
        </is>
      </c>
      <c r="E73" s="6" t="n">
        <v>48</v>
      </c>
      <c r="F73" s="6" t="inlineStr">
        <is>
          <t>7990/7989/4032</t>
        </is>
      </c>
    </row>
    <row r="74">
      <c r="A74" s="4" t="inlineStr">
        <is>
          <t>BOLT 20×50</t>
        </is>
      </c>
      <c r="B74" s="4" t="inlineStr">
        <is>
          <t>YC1</t>
        </is>
      </c>
      <c r="C74" s="4" t="inlineStr">
        <is>
          <t>CK1</t>
        </is>
      </c>
      <c r="D74" s="4" t="inlineStr">
        <is>
          <t>8.8</t>
        </is>
      </c>
      <c r="E74" s="4" t="n">
        <v>24</v>
      </c>
      <c r="F74" s="4" t="inlineStr">
        <is>
          <t>7990/7989/4032</t>
        </is>
      </c>
    </row>
    <row r="75">
      <c r="A75" s="6" t="inlineStr">
        <is>
          <t>BOLT 20×50</t>
        </is>
      </c>
      <c r="B75" s="6" t="inlineStr">
        <is>
          <t>YC1</t>
        </is>
      </c>
      <c r="C75" s="6" t="inlineStr">
        <is>
          <t>CK2</t>
        </is>
      </c>
      <c r="D75" s="6" t="inlineStr">
        <is>
          <t>8.8</t>
        </is>
      </c>
      <c r="E75" s="6" t="n">
        <v>24</v>
      </c>
      <c r="F75" s="6" t="inlineStr">
        <is>
          <t>7990/7989/4032</t>
        </is>
      </c>
    </row>
    <row r="76">
      <c r="A76" s="4" t="inlineStr">
        <is>
          <t>BOLT 20×50</t>
        </is>
      </c>
      <c r="B76" s="4" t="inlineStr">
        <is>
          <t>YC2</t>
        </is>
      </c>
      <c r="C76" s="4" t="inlineStr">
        <is>
          <t>CK1</t>
        </is>
      </c>
      <c r="D76" s="4" t="inlineStr">
        <is>
          <t>8.8</t>
        </is>
      </c>
      <c r="E76" s="4" t="n">
        <v>24</v>
      </c>
      <c r="F76" s="4" t="inlineStr">
        <is>
          <t>7990/7989/4032</t>
        </is>
      </c>
    </row>
    <row r="77">
      <c r="A77" s="6" t="inlineStr">
        <is>
          <t>BOLT 20×50</t>
        </is>
      </c>
      <c r="B77" s="6" t="inlineStr">
        <is>
          <t>YC2</t>
        </is>
      </c>
      <c r="C77" s="6" t="inlineStr">
        <is>
          <t>CK2</t>
        </is>
      </c>
      <c r="D77" s="6" t="inlineStr">
        <is>
          <t>8.8</t>
        </is>
      </c>
      <c r="E77" s="6" t="n">
        <v>24</v>
      </c>
      <c r="F77" s="6" t="inlineStr">
        <is>
          <t>7990/7989/4032</t>
        </is>
      </c>
    </row>
    <row r="78" ht="18" customHeight="1">
      <c r="A78" s="7" t="inlineStr">
        <is>
          <t>TOPLAM: BOLT 16×45 → 192 adet  |  BOLT 20×50 → 96 adet  (her civata için 1 somun + 2 rondela)</t>
        </is>
      </c>
    </row>
  </sheetData>
  <mergeCells count="22">
    <mergeCell ref="A25:I25"/>
    <mergeCell ref="A66:I66"/>
    <mergeCell ref="A56:I56"/>
    <mergeCell ref="A50:I50"/>
    <mergeCell ref="A28:G28"/>
    <mergeCell ref="A2:I2"/>
    <mergeCell ref="A40:G40"/>
    <mergeCell ref="A9:G9"/>
    <mergeCell ref="A42:I42"/>
    <mergeCell ref="A48:G48"/>
    <mergeCell ref="A64:G64"/>
    <mergeCell ref="A59:G59"/>
    <mergeCell ref="A20:I20"/>
    <mergeCell ref="A68:I68"/>
    <mergeCell ref="A54:G54"/>
    <mergeCell ref="A30:I30"/>
    <mergeCell ref="A11:I11"/>
    <mergeCell ref="A18:G18"/>
    <mergeCell ref="A1:I1"/>
    <mergeCell ref="A61:I61"/>
    <mergeCell ref="A78:I78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(CK1-CK4+KL1+W1+W2+YC1+YC2)</t>
        </is>
      </c>
      <c r="C7" s="12" t="n">
        <v>5454</v>
      </c>
      <c r="D7" s="4" t="n">
        <v>1</v>
      </c>
      <c r="E7" s="4" t="n">
        <v>5454</v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  (1 Komple)</t>
        </is>
      </c>
      <c r="C20" s="12" t="n">
        <v>1777</v>
      </c>
      <c r="D20" s="6" t="n">
        <v>1</v>
      </c>
      <c r="E20" s="6" t="n">
        <v>1777</v>
      </c>
      <c r="F20" s="6" t="inlineStr">
        <is>
          <t>MKD-210</t>
        </is>
      </c>
    </row>
    <row r="21">
      <c r="A21" s="4" t="inlineStr">
        <is>
          <t>İSİM PLAK.</t>
        </is>
      </c>
      <c r="B21" s="11" t="inlineStr">
        <is>
          <t>Tank İsim Plakası (TI-1 ~ TI-4)</t>
        </is>
      </c>
      <c r="C21" s="12" t="n">
        <v>5.18</v>
      </c>
      <c r="D21" s="4" t="n">
        <v>1</v>
      </c>
      <c r="E21" s="4" t="n">
        <v>5.18</v>
      </c>
      <c r="F21" s="4" t="inlineStr">
        <is>
          <t>–</t>
        </is>
      </c>
    </row>
    <row r="22">
      <c r="A22" s="6" t="inlineStr">
        <is>
          <t>SAMANDIRA</t>
        </is>
      </c>
      <c r="B22" s="13" t="inlineStr">
        <is>
          <t>Mekanik Samandıra (N14)</t>
        </is>
      </c>
      <c r="C22" s="14" t="inlineStr">
        <is>
          <t>Bekleniyor</t>
        </is>
      </c>
      <c r="D22" s="6" t="inlineStr">
        <is>
          <t>1</t>
        </is>
      </c>
      <c r="E22" s="6" t="inlineStr">
        <is>
          <t>Bekleniyor</t>
        </is>
      </c>
      <c r="F22" s="6" t="inlineStr">
        <is>
          <t>MKD-206</t>
        </is>
      </c>
    </row>
    <row r="24">
      <c r="A24" s="8" t="inlineStr">
        <is>
          <t>BİLİNEN TOPLAM (yaklaşık, eksikler hariç):</t>
        </is>
      </c>
      <c r="C24" s="9" t="inlineStr">
        <is>
          <t>~44134</t>
        </is>
      </c>
      <c r="D24" s="9" t="inlineStr">
        <is>
          <t>–</t>
        </is>
      </c>
      <c r="E24" s="9" t="inlineStr">
        <is>
          <t>~44582</t>
        </is>
      </c>
      <c r="F24" s="9" t="inlineStr"/>
    </row>
  </sheetData>
  <mergeCells count="2">
    <mergeCell ref="A24:B24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 10mm + Annüler 12mm + Strip 5mm)</t>
        </is>
      </c>
      <c r="C5" s="4" t="inlineStr">
        <is>
          <t>S275J2</t>
        </is>
      </c>
      <c r="D5" s="4" t="inlineStr">
        <is>
          <t>5–12</t>
        </is>
      </c>
      <c r="E5" s="4" t="n">
        <v>11176.7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Drenaj Çukuru (Sump) — Ayrı İmalat Kalemi</t>
        </is>
      </c>
      <c r="C6" s="6" t="inlineStr">
        <is>
          <t>S275J2</t>
        </is>
      </c>
      <c r="D6" s="6" t="inlineStr">
        <is>
          <t>–</t>
        </is>
      </c>
      <c r="E6" s="6" t="n">
        <v>76.09999999999999</v>
      </c>
      <c r="F6" s="14" t="inlineStr"/>
      <c r="G6" s="6">
        <f>E6*F6</f>
        <v/>
      </c>
      <c r="H6" s="14" t="inlineStr"/>
      <c r="I6" s="6">
        <f>E6*H6</f>
        <v/>
      </c>
      <c r="J6" s="6">
        <f>G6+I6</f>
        <v/>
      </c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n">
        <v>5454</v>
      </c>
      <c r="F8" s="14" t="inlineStr"/>
      <c r="G8" s="6">
        <f>E8*F8</f>
        <v/>
      </c>
      <c r="H8" s="14" t="inlineStr"/>
      <c r="I8" s="6">
        <f>E8*H8</f>
        <v/>
      </c>
      <c r="J8" s="6">
        <f>G8+I8</f>
        <v/>
      </c>
    </row>
    <row r="9">
      <c r="A9" s="4" t="inlineStr">
        <is>
          <t>NOZULLAR</t>
        </is>
      </c>
      <c r="B9" s="11" t="inlineStr">
        <is>
          <t>Tüm Nozullar + RF Takviye Sacları (N1+N4+N7A/B+N8+N9+N18+N19+N21)</t>
        </is>
      </c>
      <c r="C9" s="4" t="inlineStr">
        <is>
          <t>A106/A105/S275J2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MERDİVEN</t>
        </is>
      </c>
      <c r="B12" s="13" t="inlineStr">
        <is>
          <t>Merdiven + Korkuluk</t>
        </is>
      </c>
      <c r="C12" s="6" t="inlineStr">
        <is>
          <t>S235JR</t>
        </is>
      </c>
      <c r="D12" s="6" t="inlineStr">
        <is>
          <t>–</t>
        </is>
      </c>
      <c r="E12" s="6" t="n">
        <v>1777</v>
      </c>
      <c r="F12" s="14" t="inlineStr"/>
      <c r="G12" s="6">
        <f>E12*F12</f>
        <v/>
      </c>
      <c r="H12" s="14" t="inlineStr"/>
      <c r="I12" s="6">
        <f>E12*H12</f>
        <v/>
      </c>
      <c r="J12" s="6">
        <f>G12+I12</f>
        <v/>
      </c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31</t>
        </is>
      </c>
      <c r="D16" s="4" t="inlineStr">
        <is>
          <t>adet</t>
        </is>
      </c>
      <c r="E16" s="14" t="inlineStr"/>
      <c r="F16" s="4" t="inlineStr"/>
      <c r="G16" s="4" t="inlineStr">
        <is>
          <t>POZ 3×30 + POZ 3A×1  |  1480×6000mm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</t>
        </is>
      </c>
      <c r="D17" s="6" t="inlineStr">
        <is>
          <t>adet</t>
        </is>
      </c>
      <c r="E17" s="14" t="inlineStr"/>
      <c r="F17" s="6" t="inlineStr"/>
      <c r="G17" s="6" t="inlineStr">
        <is>
          <t>POZ 1-1E×6 (6000mm) + POZ 2×1 (3997mm)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35</t>
        </is>
      </c>
      <c r="D18" s="4" t="inlineStr">
        <is>
          <t>adet</t>
        </is>
      </c>
      <c r="E18" s="14" t="inlineStr"/>
      <c r="F18" s="4" t="inlineStr"/>
      <c r="G18" s="4" t="inlineStr">
        <is>
          <t>POZ 1-9 toplam 35 parça, 1500×6000mm stokundan</t>
        </is>
      </c>
    </row>
    <row r="19">
      <c r="A19" s="6" t="inlineStr">
        <is>
          <t>Kesim (Plazma/Lazer)</t>
        </is>
      </c>
      <c r="B19" s="13" t="inlineStr">
        <is>
          <t>Tüm Ana Sac Plakalar (Gövde+Taban+Tavan+Sump)</t>
        </is>
      </c>
      <c r="C19" s="6" t="n">
        <v>35913</v>
      </c>
      <c r="D19" s="6" t="inlineStr">
        <is>
          <t>kg</t>
        </is>
      </c>
      <c r="E19" s="14" t="inlineStr"/>
      <c r="F19" s="6" t="inlineStr"/>
      <c r="G19" s="6" t="inlineStr">
        <is>
          <t>16513+11253+8147 = 35913 kg S275J2</t>
        </is>
      </c>
    </row>
    <row r="20">
      <c r="A20" s="4" t="inlineStr">
        <is>
          <t>Profil Kesim</t>
        </is>
      </c>
      <c r="B20" s="11" t="inlineStr">
        <is>
          <t>Yapısal Çelik Çatı İskeleti (UNP+PL+PIP+L)</t>
        </is>
      </c>
      <c r="C20" s="4" t="n">
        <v>5454</v>
      </c>
      <c r="D20" s="4" t="inlineStr">
        <is>
          <t>kg</t>
        </is>
      </c>
      <c r="E20" s="14" t="inlineStr"/>
      <c r="F20" s="4" t="inlineStr"/>
      <c r="G20" s="4" t="inlineStr">
        <is>
          <t>Çizim TOPLAM = 5454 kg S235JR</t>
        </is>
      </c>
    </row>
    <row r="21">
      <c r="A21" s="6" t="inlineStr">
        <is>
          <t>Boru Kesim</t>
        </is>
      </c>
      <c r="B21" s="13" t="inlineStr">
        <is>
          <t>PIP 323.9×8 + Nozul Boruları (A106 Gr.B)</t>
        </is>
      </c>
      <c r="C21" s="6" t="n">
        <v>700</v>
      </c>
      <c r="D21" s="6" t="inlineStr">
        <is>
          <t>kg</t>
        </is>
      </c>
      <c r="E21" s="14" t="inlineStr"/>
      <c r="F21" s="6" t="inlineStr"/>
      <c r="G21" s="6" t="inlineStr">
        <is>
          <t>Yaklaşık; kesin ağırlık nozul detay listesinden</t>
        </is>
      </c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18" customWidth="1" min="3" max="3"/>
    <col width="22" customWidth="1" min="4" max="4"/>
    <col width="10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7000 Bbl ÜRETİM TANKI T-202  —  SATINALMA SİPARİŞ TABLOSU  (1 TANK)</t>
        </is>
      </c>
    </row>
    <row r="2" ht="18" customHeight="1">
      <c r="A2" s="7" t="inlineStr">
        <is>
          <t>A — SAC PLAKA  (S275J2  |  EN 10025-3)</t>
        </is>
      </c>
    </row>
    <row r="3" ht="35" customHeight="1">
      <c r="A3" s="2" t="inlineStr">
        <is>
          <t>S.NO</t>
        </is>
      </c>
      <c r="B3" s="2" t="inlineStr">
        <is>
          <t>TANIM  /  MALZEME</t>
        </is>
      </c>
      <c r="C3" s="2" t="inlineStr">
        <is>
          <t>MALZEME
SINIFI</t>
        </is>
      </c>
      <c r="D3" s="2" t="inlineStr">
        <is>
          <t>STOK BOYUT
(mm)</t>
        </is>
      </c>
      <c r="E3" s="2" t="inlineStr">
        <is>
          <t>SİPARİŞ
ADEDİ</t>
        </is>
      </c>
      <c r="F3" s="2" t="inlineStr">
        <is>
          <t>NET AĞIRLIK
(kg)</t>
        </is>
      </c>
      <c r="G3" s="2" t="inlineStr">
        <is>
          <t>BİRİM FİYAT ★
($/kg)</t>
        </is>
      </c>
      <c r="H3" s="2" t="inlineStr">
        <is>
          <t>TOPLAM
($)</t>
        </is>
      </c>
    </row>
    <row r="4">
      <c r="A4" s="6" t="n">
        <v>1</v>
      </c>
      <c r="B4" s="13" t="inlineStr">
        <is>
          <t>Gövde Silindirik Sac — 2. ile 6. Kurs  (POZ 3, 3A)</t>
        </is>
      </c>
      <c r="C4" s="6" t="inlineStr">
        <is>
          <t>S275J2</t>
        </is>
      </c>
      <c r="D4" s="6" t="inlineStr">
        <is>
          <t>1500 × 6000 × 6</t>
        </is>
      </c>
      <c r="E4" s="6" t="n">
        <v>32</v>
      </c>
      <c r="F4" s="6" t="n">
        <v>12964</v>
      </c>
      <c r="G4" s="14" t="inlineStr"/>
      <c r="H4" s="6">
        <f>F4*G4</f>
        <v/>
      </c>
    </row>
    <row r="5">
      <c r="A5" s="4" t="n">
        <v>2</v>
      </c>
      <c r="B5" s="11" t="inlineStr">
        <is>
          <t>Gövde Silindirik Sac — 1. Kurs (Alt)  (POZ 1, 1A–1E, 2)  +  Tavan Konik Sektör  (POZ 1–9)  [Birleşik Sipariş]</t>
        </is>
      </c>
      <c r="C5" s="4" t="inlineStr">
        <is>
          <t>S275J2</t>
        </is>
      </c>
      <c r="D5" s="4" t="inlineStr">
        <is>
          <t>1500 × 6000 × 8</t>
        </is>
      </c>
      <c r="E5" s="4" t="n">
        <v>47</v>
      </c>
      <c r="F5" s="4" t="n">
        <v>11696.1</v>
      </c>
      <c r="G5" s="14" t="inlineStr"/>
      <c r="H5" s="4">
        <f>F5*G5</f>
        <v/>
      </c>
    </row>
    <row r="6">
      <c r="A6" s="6" t="n">
        <v>3</v>
      </c>
      <c r="B6" s="13" t="inlineStr">
        <is>
          <t>Taban Orta Plakalar  (POZ 1–8)</t>
        </is>
      </c>
      <c r="C6" s="6" t="inlineStr">
        <is>
          <t>S275J2</t>
        </is>
      </c>
      <c r="D6" s="6" t="inlineStr">
        <is>
          <t>1500 × 6000 × 10</t>
        </is>
      </c>
      <c r="E6" s="6" t="n">
        <v>12</v>
      </c>
      <c r="F6" s="6" t="n">
        <v>8266.700000000001</v>
      </c>
      <c r="G6" s="14" t="inlineStr"/>
      <c r="H6" s="6">
        <f>F6*G6</f>
        <v/>
      </c>
    </row>
    <row r="7">
      <c r="A7" s="4" t="n">
        <v>4</v>
      </c>
      <c r="B7" s="11" t="inlineStr">
        <is>
          <t>Taban Annüler (Çevre) Plakalar  (POZ 9, 9A)</t>
        </is>
      </c>
      <c r="C7" s="4" t="inlineStr">
        <is>
          <t>S275J2</t>
        </is>
      </c>
      <c r="D7" s="4" t="inlineStr">
        <is>
          <t>1500 × 6000 × 12</t>
        </is>
      </c>
      <c r="E7" s="4" t="n">
        <v>4</v>
      </c>
      <c r="F7" s="4" t="n">
        <v>2854.4</v>
      </c>
      <c r="G7" s="14" t="inlineStr"/>
      <c r="H7" s="4">
        <f>F7*G7</f>
        <v/>
      </c>
    </row>
    <row r="8">
      <c r="A8" s="6" t="n">
        <v>5</v>
      </c>
      <c r="B8" s="13" t="inlineStr">
        <is>
          <t>Taban Drenaj Strip  (POZ 10–13)  — Atık sacdan kesilebilir</t>
        </is>
      </c>
      <c r="C8" s="6" t="inlineStr">
        <is>
          <t>S275J2</t>
        </is>
      </c>
      <c r="D8" s="6" t="inlineStr">
        <is>
          <t>50 geniş şerit</t>
        </is>
      </c>
      <c r="E8" s="6" t="n">
        <v>1</v>
      </c>
      <c r="F8" s="6" t="n">
        <v>55.5</v>
      </c>
      <c r="G8" s="14" t="inlineStr"/>
      <c r="H8" s="6">
        <f>F8*G8</f>
        <v/>
      </c>
    </row>
    <row r="9">
      <c r="A9" s="8" t="inlineStr">
        <is>
          <t>A TOPLAM  —  S275J2 ANA SAC</t>
        </is>
      </c>
      <c r="F9" s="9" t="n">
        <v>35836.7</v>
      </c>
      <c r="G9" s="9" t="inlineStr"/>
      <c r="H9" s="9">
        <f>SUM(H4:H8)</f>
        <v/>
      </c>
    </row>
    <row r="11" ht="18" customHeight="1">
      <c r="A11" s="7" t="inlineStr">
        <is>
          <t>B — YAPISAL PROFİL / BORU  (S235JR  |  EN 10025-2)</t>
        </is>
      </c>
    </row>
    <row r="12" ht="35" customHeight="1">
      <c r="A12" s="2" t="inlineStr">
        <is>
          <t>S.NO</t>
        </is>
      </c>
      <c r="B12" s="2" t="inlineStr">
        <is>
          <t>TANIM  /  MALZEME</t>
        </is>
      </c>
      <c r="C12" s="2" t="inlineStr">
        <is>
          <t>MALZEME
SINIFI</t>
        </is>
      </c>
      <c r="D12" s="2" t="inlineStr">
        <is>
          <t>STOK BOYUT
(mm)</t>
        </is>
      </c>
      <c r="E12" s="2" t="inlineStr">
        <is>
          <t>SİPARİŞ
ADEDİ</t>
        </is>
      </c>
      <c r="F12" s="2" t="inlineStr">
        <is>
          <t>NET AĞIRLIK
(kg)</t>
        </is>
      </c>
      <c r="G12" s="2" t="inlineStr">
        <is>
          <t>BİRİM FİYAT ★
($/kg)</t>
        </is>
      </c>
      <c r="H12" s="2" t="inlineStr">
        <is>
          <t>TOPLAM
($)</t>
        </is>
      </c>
    </row>
    <row r="13">
      <c r="A13" s="4" t="n">
        <v>1</v>
      </c>
      <c r="B13" s="11" t="inlineStr">
        <is>
          <t>UNP 240 — Çatı Rafteri CK1 + CK2  (24 adet × 5685 mm)</t>
        </is>
      </c>
      <c r="C13" s="4" t="inlineStr">
        <is>
          <t>S235JR</t>
        </is>
      </c>
      <c r="D13" s="4" t="inlineStr">
        <is>
          <t>UNP240 × 12000</t>
        </is>
      </c>
      <c r="E13" s="4" t="n">
        <v>12</v>
      </c>
      <c r="F13" s="4" t="n">
        <v>3732</v>
      </c>
      <c r="G13" s="14" t="inlineStr"/>
      <c r="H13" s="4">
        <f>F13*G13</f>
        <v/>
      </c>
    </row>
    <row r="14">
      <c r="A14" s="6" t="n">
        <v>2</v>
      </c>
      <c r="B14" s="13" t="inlineStr">
        <is>
          <t>UNP 200 — Çatı Purlin CK3  (24 adet × 1227 mm)</t>
        </is>
      </c>
      <c r="C14" s="6" t="inlineStr">
        <is>
          <t>S235JR</t>
        </is>
      </c>
      <c r="D14" s="6" t="inlineStr">
        <is>
          <t>UNP200 × 6000</t>
        </is>
      </c>
      <c r="E14" s="6" t="n">
        <v>5</v>
      </c>
      <c r="F14" s="6" t="n">
        <v>744</v>
      </c>
      <c r="G14" s="14" t="inlineStr"/>
      <c r="H14" s="6">
        <f>F14*G14</f>
        <v/>
      </c>
    </row>
    <row r="15">
      <c r="A15" s="4" t="n">
        <v>3</v>
      </c>
      <c r="B15" s="11" t="inlineStr">
        <is>
          <t>UNP 200 — Çatı Purlin CK4  (24 adet × 677 mm)</t>
        </is>
      </c>
      <c r="C15" s="4" t="inlineStr">
        <is>
          <t>S235JR</t>
        </is>
      </c>
      <c r="D15" s="4" t="inlineStr">
        <is>
          <t>UNP200 × 6000</t>
        </is>
      </c>
      <c r="E15" s="4" t="n">
        <v>2</v>
      </c>
      <c r="F15" s="4" t="n">
        <v>410.4</v>
      </c>
      <c r="G15" s="14" t="inlineStr"/>
      <c r="H15" s="4">
        <f>F15*G15</f>
        <v/>
      </c>
    </row>
    <row r="16">
      <c r="A16" s="6" t="n">
        <v>4</v>
      </c>
      <c r="B16" s="13" t="inlineStr">
        <is>
          <t>PIP 323.9×8 — Çatı Merkezi Kolon KL1  (1 adet × 9369 mm)</t>
        </is>
      </c>
      <c r="C16" s="6" t="inlineStr">
        <is>
          <t>S235JR</t>
        </is>
      </c>
      <c r="D16" s="6" t="inlineStr">
        <is>
          <t>PIP323.9×8 × 12000</t>
        </is>
      </c>
      <c r="E16" s="6" t="n">
        <v>1</v>
      </c>
      <c r="F16" s="6" t="n">
        <v>580.2</v>
      </c>
      <c r="G16" s="14" t="inlineStr"/>
      <c r="H16" s="6">
        <f>F16*G16</f>
        <v/>
      </c>
    </row>
    <row r="17">
      <c r="A17" s="4" t="n">
        <v>5</v>
      </c>
      <c r="B17" s="11" t="inlineStr">
        <is>
          <t>L 60×5 Köşebent — Çatı YC1+YC2  (24 adet, toplam ~46740 mm)</t>
        </is>
      </c>
      <c r="C17" s="4" t="inlineStr">
        <is>
          <t>S235JR</t>
        </is>
      </c>
      <c r="D17" s="4" t="inlineStr">
        <is>
          <t>L60×5 × 6000</t>
        </is>
      </c>
      <c r="E17" s="4" t="n">
        <v>8</v>
      </c>
      <c r="F17" s="4" t="n">
        <v>417.6</v>
      </c>
      <c r="G17" s="14" t="inlineStr"/>
      <c r="H17" s="4">
        <f>F17*G17</f>
        <v/>
      </c>
    </row>
    <row r="18">
      <c r="A18" s="6" t="n">
        <v>6</v>
      </c>
      <c r="B18" s="13" t="inlineStr">
        <is>
          <t>C 200×8 (UPE200) — Merdiven Borda Kirişi  (8 adet, çeşitli boy)</t>
        </is>
      </c>
      <c r="C18" s="6" t="inlineStr">
        <is>
          <t>S235JR</t>
        </is>
      </c>
      <c r="D18" s="6" t="inlineStr">
        <is>
          <t>200×8 × 9000</t>
        </is>
      </c>
      <c r="E18" s="6" t="n">
        <v>9</v>
      </c>
      <c r="F18" s="6" t="n">
        <v>415.7</v>
      </c>
      <c r="G18" s="14" t="inlineStr"/>
      <c r="H18" s="6">
        <f>F18*G18</f>
        <v/>
      </c>
    </row>
    <row r="19">
      <c r="A19" s="4" t="n">
        <v>7</v>
      </c>
      <c r="B19" s="11" t="inlineStr">
        <is>
          <t>NPU 100 — Merdiven Basamak  (13 adet × ~1080–1179 mm)</t>
        </is>
      </c>
      <c r="C19" s="4" t="inlineStr">
        <is>
          <t>S235JR</t>
        </is>
      </c>
      <c r="D19" s="4" t="inlineStr">
        <is>
          <t>NPU100 × 6000</t>
        </is>
      </c>
      <c r="E19" s="4" t="n">
        <v>3</v>
      </c>
      <c r="F19" s="4" t="n">
        <v>288</v>
      </c>
      <c r="G19" s="14" t="inlineStr"/>
      <c r="H19" s="4">
        <f>F19*G19</f>
        <v/>
      </c>
    </row>
    <row r="20">
      <c r="A20" s="6" t="n">
        <v>8</v>
      </c>
      <c r="B20" s="13" t="inlineStr">
        <is>
          <t>L 60×6 Köşebent — Merdiven Korkuluk ve Detaylar  (~100+ parça)</t>
        </is>
      </c>
      <c r="C20" s="6" t="inlineStr">
        <is>
          <t>S235JR</t>
        </is>
      </c>
      <c r="D20" s="6" t="inlineStr">
        <is>
          <t>L60×6 × 6000</t>
        </is>
      </c>
      <c r="E20" s="6" t="n">
        <v>20</v>
      </c>
      <c r="F20" s="6" t="n">
        <v>499.6</v>
      </c>
      <c r="G20" s="14" t="inlineStr"/>
      <c r="H20" s="6">
        <f>F20*G20</f>
        <v/>
      </c>
    </row>
    <row r="21">
      <c r="A21" s="4" t="n">
        <v>9</v>
      </c>
      <c r="B21" s="11" t="inlineStr">
        <is>
          <t>1¼" STD SCH Boru — Merdiven Korkuluk (Handrail)  (70000 mm)</t>
        </is>
      </c>
      <c r="C21" s="4" t="inlineStr">
        <is>
          <t>S235JR</t>
        </is>
      </c>
      <c r="D21" s="4" t="inlineStr">
        <is>
          <t>1¼" SCH × 6000</t>
        </is>
      </c>
      <c r="E21" s="4" t="n">
        <v>12</v>
      </c>
      <c r="F21" s="4" t="n">
        <v>178.5</v>
      </c>
      <c r="G21" s="14" t="inlineStr"/>
      <c r="H21" s="4">
        <f>F21*G21</f>
        <v/>
      </c>
    </row>
    <row r="22">
      <c r="A22" s="8" t="inlineStr">
        <is>
          <t>B TOPLAM  —  S235JR YAPISAL</t>
        </is>
      </c>
      <c r="F22" s="9" t="n">
        <v>7266</v>
      </c>
      <c r="G22" s="9" t="inlineStr"/>
      <c r="H22" s="9">
        <f>SUM(H13:H21)</f>
        <v/>
      </c>
    </row>
    <row r="24" ht="18" customHeight="1">
      <c r="A24" s="7" t="inlineStr">
        <is>
          <t>C — NOZUL BORU / FLANŞ  (ASTM A106 Gr.B  +  ASTM A105)</t>
        </is>
      </c>
    </row>
    <row r="25" ht="35" customHeight="1">
      <c r="A25" s="2" t="inlineStr">
        <is>
          <t>S.NO</t>
        </is>
      </c>
      <c r="B25" s="2" t="inlineStr">
        <is>
          <t>TANIM  /  MALZEME</t>
        </is>
      </c>
      <c r="C25" s="2" t="inlineStr">
        <is>
          <t>MALZEME
SINIFI</t>
        </is>
      </c>
      <c r="D25" s="2" t="inlineStr">
        <is>
          <t>STOK BOYUT
(mm)</t>
        </is>
      </c>
      <c r="E25" s="2" t="inlineStr">
        <is>
          <t>SİPARİŞ
ADEDİ</t>
        </is>
      </c>
      <c r="F25" s="2" t="inlineStr">
        <is>
          <t>NET AĞIRLIK
(kg)</t>
        </is>
      </c>
      <c r="G25" s="2" t="inlineStr">
        <is>
          <t>BİRİM FİYAT ★
($/kg)</t>
        </is>
      </c>
      <c r="H25" s="2" t="inlineStr">
        <is>
          <t>TOPLAM
($)</t>
        </is>
      </c>
    </row>
    <row r="26">
      <c r="A26" s="6" t="n">
        <v>1</v>
      </c>
      <c r="B26" s="13" t="inlineStr">
        <is>
          <t>12" SCH XS Boru — N1 Giriş + N4 Çıkış + N21 Hava (6 adet × ~223–290 mm)</t>
        </is>
      </c>
      <c r="C26" s="6" t="inlineStr">
        <is>
          <t>ASTM A106 Gr.B</t>
        </is>
      </c>
      <c r="D26" s="6" t="inlineStr">
        <is>
          <t>12" SCH XS × 6000</t>
        </is>
      </c>
      <c r="E26" s="6" t="n">
        <v>1</v>
      </c>
      <c r="F26" s="6" t="n">
        <v>129</v>
      </c>
      <c r="G26" s="14" t="inlineStr"/>
      <c r="H26" s="6">
        <f>F26*G26</f>
        <v/>
      </c>
    </row>
    <row r="27">
      <c r="A27" s="4" t="n">
        <v>2</v>
      </c>
      <c r="B27" s="11" t="inlineStr">
        <is>
          <t>8" SCH XS Boru — N8 Köpük Yapıcı  (1 adet × 221 mm)</t>
        </is>
      </c>
      <c r="C27" s="4" t="inlineStr">
        <is>
          <t>ASTM A106 Gr.B</t>
        </is>
      </c>
      <c r="D27" s="4" t="inlineStr">
        <is>
          <t>8" SCH XS × 6000</t>
        </is>
      </c>
      <c r="E27" s="4" t="n">
        <v>1</v>
      </c>
      <c r="F27" s="4" t="n">
        <v>11.4</v>
      </c>
      <c r="G27" s="14" t="inlineStr"/>
      <c r="H27" s="4">
        <f>F27*G27</f>
        <v/>
      </c>
    </row>
    <row r="28">
      <c r="A28" s="6" t="n">
        <v>3</v>
      </c>
      <c r="B28" s="13" t="inlineStr">
        <is>
          <t>6" SCH XS Boru — N7A/B Drain  (2 set: 360+870+540 mm + 90° Dirsek)</t>
        </is>
      </c>
      <c r="C28" s="6" t="inlineStr">
        <is>
          <t>ASTM A106 Gr.B</t>
        </is>
      </c>
      <c r="D28" s="6" t="inlineStr">
        <is>
          <t>6" SCH XS × 6000</t>
        </is>
      </c>
      <c r="E28" s="6" t="n">
        <v>1</v>
      </c>
      <c r="F28" s="6" t="n">
        <v>47.2</v>
      </c>
      <c r="G28" s="14" t="inlineStr"/>
      <c r="H28" s="6">
        <f>F28*G28</f>
        <v/>
      </c>
    </row>
    <row r="29">
      <c r="A29" s="4" t="n">
        <v>4</v>
      </c>
      <c r="B29" s="11" t="inlineStr">
        <is>
          <t>6" SCH XS 90° LR Dirsek — N7A/B Drain  (2 adet)</t>
        </is>
      </c>
      <c r="C29" s="4" t="inlineStr">
        <is>
          <t>ASTM A234 WPB</t>
        </is>
      </c>
      <c r="D29" s="4" t="inlineStr">
        <is>
          <t>6" SCH XS Elbow</t>
        </is>
      </c>
      <c r="E29" s="4" t="n">
        <v>2</v>
      </c>
      <c r="F29" s="4" t="n">
        <v>10.8</v>
      </c>
      <c r="G29" s="14" t="inlineStr"/>
      <c r="H29" s="4">
        <f>F29*G29</f>
        <v/>
      </c>
    </row>
    <row r="30">
      <c r="A30" s="6" t="n">
        <v>5</v>
      </c>
      <c r="B30" s="13" t="inlineStr">
        <is>
          <t>1½" SCH XS Boru — N9 Sıcaklık  +  1" SCH XS Boru — N18 Seviye</t>
        </is>
      </c>
      <c r="C30" s="6" t="inlineStr">
        <is>
          <t>ASTM A106 Gr.B</t>
        </is>
      </c>
      <c r="D30" s="6" t="inlineStr">
        <is>
          <t>1½"+1" SCH XS × 1000</t>
        </is>
      </c>
      <c r="E30" s="6" t="n">
        <v>2</v>
      </c>
      <c r="F30" s="6" t="n">
        <v>1.4</v>
      </c>
      <c r="G30" s="14" t="inlineStr"/>
      <c r="H30" s="6">
        <f>F30*G30</f>
        <v/>
      </c>
    </row>
    <row r="31">
      <c r="A31" s="4" t="n">
        <v>6</v>
      </c>
      <c r="B31" s="11" t="inlineStr">
        <is>
          <t>12" 150# SO-RF Flanş — N1 + N4 + N21  (6 adet)</t>
        </is>
      </c>
      <c r="C31" s="4" t="inlineStr">
        <is>
          <t>ASTM A105</t>
        </is>
      </c>
      <c r="D31" s="4" t="inlineStr">
        <is>
          <t>12" 150# SO-RF</t>
        </is>
      </c>
      <c r="E31" s="4" t="n">
        <v>6</v>
      </c>
      <c r="F31" s="4" t="n">
        <v>174</v>
      </c>
      <c r="G31" s="14" t="inlineStr"/>
      <c r="H31" s="4">
        <f>F31*G31</f>
        <v/>
      </c>
    </row>
    <row r="32">
      <c r="A32" s="6" t="n">
        <v>7</v>
      </c>
      <c r="B32" s="13" t="inlineStr">
        <is>
          <t>8" 150# SO-RF Flanş — N8  (1 adet)</t>
        </is>
      </c>
      <c r="C32" s="6" t="inlineStr">
        <is>
          <t>ASTM A105</t>
        </is>
      </c>
      <c r="D32" s="6" t="inlineStr">
        <is>
          <t>8" 150# SO-RF</t>
        </is>
      </c>
      <c r="E32" s="6" t="n">
        <v>1</v>
      </c>
      <c r="F32" s="6" t="n">
        <v>13.5</v>
      </c>
      <c r="G32" s="14" t="inlineStr"/>
      <c r="H32" s="6">
        <f>F32*G32</f>
        <v/>
      </c>
    </row>
    <row r="33">
      <c r="A33" s="4" t="n">
        <v>8</v>
      </c>
      <c r="B33" s="11" t="inlineStr">
        <is>
          <t>6" 150# SO-RF Flanş — N7A/B  (2 adet)</t>
        </is>
      </c>
      <c r="C33" s="4" t="inlineStr">
        <is>
          <t>ASTM A105</t>
        </is>
      </c>
      <c r="D33" s="4" t="inlineStr">
        <is>
          <t>6" 150# SO-RF</t>
        </is>
      </c>
      <c r="E33" s="4" t="n">
        <v>2</v>
      </c>
      <c r="F33" s="4" t="n">
        <v>11.8</v>
      </c>
      <c r="G33" s="14" t="inlineStr"/>
      <c r="H33" s="4">
        <f>F33*G33</f>
        <v/>
      </c>
    </row>
    <row r="34">
      <c r="A34" s="6" t="n">
        <v>9</v>
      </c>
      <c r="B34" s="13" t="inlineStr">
        <is>
          <t>1½" 150# SO-RF Flanş — N9  +  1" 150# SO-RF Flanş — N18  (2 adet)</t>
        </is>
      </c>
      <c r="C34" s="6" t="inlineStr">
        <is>
          <t>ASTM A105</t>
        </is>
      </c>
      <c r="D34" s="6" t="inlineStr">
        <is>
          <t>1½"+1" 150# SO-RF</t>
        </is>
      </c>
      <c r="E34" s="6" t="n">
        <v>2</v>
      </c>
      <c r="F34" s="6" t="n">
        <v>2.95</v>
      </c>
      <c r="G34" s="14" t="inlineStr"/>
      <c r="H34" s="6">
        <f>F34*G34</f>
        <v/>
      </c>
    </row>
    <row r="35">
      <c r="A35" s="8" t="inlineStr">
        <is>
          <t>C TOPLAM  —  ASTM BORU + FLANŞ</t>
        </is>
      </c>
      <c r="F35" s="9" t="n">
        <v>402.1</v>
      </c>
      <c r="G35" s="9" t="inlineStr"/>
      <c r="H35" s="9">
        <f>SUM(H26:H34)</f>
        <v/>
      </c>
    </row>
    <row r="37">
      <c r="A37" s="16" t="inlineStr">
        <is>
          <t>GENEL TOPLAM  (A + B + C)  —  Birim Fiyatlar Girildiğinde Otomatik Hesaplanır</t>
        </is>
      </c>
      <c r="F37" s="1" t="n">
        <v>43504.8</v>
      </c>
      <c r="G37" s="1" t="inlineStr"/>
      <c r="H37" s="1">
        <f>H10+H23+H36</f>
        <v/>
      </c>
    </row>
    <row r="38">
      <c r="A38" s="17" t="inlineStr">
        <is>
          <t>★ G sütununa (BİRİM FİYAT) $/kg değeri giriniz. Bölüm D malzemeleri (Cıvata/Somun/Rondela, Samandıra, Ankraj) ayrıca fiyatlandırılacaktır.</t>
        </is>
      </c>
    </row>
  </sheetData>
  <mergeCells count="9">
    <mergeCell ref="A35:E35"/>
    <mergeCell ref="A24:H24"/>
    <mergeCell ref="A2:H2"/>
    <mergeCell ref="A38:H38"/>
    <mergeCell ref="A11:H11"/>
    <mergeCell ref="A37:E37"/>
    <mergeCell ref="A1:H1"/>
    <mergeCell ref="A22:E22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2026-06-05T08:30:04Z</dcterms:created>
  <dcterms:modified xsi:type="dcterms:W3CDTF">2026-06-05T08:30:05Z</dcterms:modified>
</cp:coreProperties>
</file>