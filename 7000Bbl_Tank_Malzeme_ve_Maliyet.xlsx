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zul Detayları" sheetId="1" state="visible" r:id="rId1"/>
    <sheet name="Manhol Detayları" sheetId="2" state="visible" r:id="rId2"/>
    <sheet name="Tavan Plakaları" sheetId="3" state="visible" r:id="rId3"/>
    <sheet name="Taban+Gövde Plakaları" sheetId="4" state="visible" r:id="rId4"/>
    <sheet name="Konik Çatı İskeleti" sheetId="5" state="visible" r:id="rId5"/>
    <sheet name="MALİYET ÖZET" sheetId="6" state="visible" r:id="rId6"/>
    <sheet name="Toplam Ağırlık Özet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0"/>
    </font>
    <font>
      <b val="1"/>
      <color rgb="00FFFFFF"/>
      <sz val="10"/>
    </font>
    <font>
      <sz val="10"/>
    </font>
    <font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DEEAF1"/>
      </patternFill>
    </fill>
    <fill>
      <patternFill patternType="solid">
        <fgColor rgb="00FFFF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right" vertical="center"/>
    </xf>
    <xf numFmtId="0" fontId="2" fillId="7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right" vertical="center"/>
    </xf>
    <xf numFmtId="0" fontId="4" fillId="5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5" borderId="2" pivotButton="0" quotePrefix="0" xfId="0"/>
    <xf numFmtId="0" fontId="4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20" customWidth="1" min="4" max="4"/>
    <col width="14" customWidth="1" min="5" max="5"/>
    <col width="14" customWidth="1" min="6" max="6"/>
    <col width="20" customWidth="1" min="7" max="7"/>
    <col width="20" customWidth="1" min="8" max="8"/>
  </cols>
  <sheetData>
    <row r="1" ht="22" customHeight="1">
      <c r="A1" s="1" t="inlineStr">
        <is>
          <t>7000 Bbl ÜRETİM TANKI T-202A/B/C — NOZUL DETAY MALZEME LİSTELERİ</t>
        </is>
      </c>
    </row>
    <row r="2">
      <c r="A2" s="2" t="inlineStr">
        <is>
          <t>(12") N1 = NOZULU   |   İmalat Adedi: 1   |   Her tank için 1 adet</t>
        </is>
      </c>
    </row>
    <row r="3" ht="30" customHeight="1">
      <c r="A3" s="3" t="inlineStr">
        <is>
          <t>POZ</t>
        </is>
      </c>
      <c r="B3" s="3" t="inlineStr">
        <is>
          <t>ADET</t>
        </is>
      </c>
      <c r="C3" s="3" t="inlineStr">
        <is>
          <t>AÇIKLAMA</t>
        </is>
      </c>
      <c r="D3" s="3" t="inlineStr">
        <is>
          <t>MALZEME</t>
        </is>
      </c>
      <c r="E3" s="3" t="inlineStr">
        <is>
          <t>BİRİM
AĞIRLIK (kg)</t>
        </is>
      </c>
      <c r="F3" s="3" t="inlineStr">
        <is>
          <t>TOPLAM
AĞIRLIK (kg)</t>
        </is>
      </c>
      <c r="G3" s="3" t="inlineStr">
        <is>
          <t>OP. TÜRÜ</t>
        </is>
      </c>
      <c r="H3" s="3" t="inlineStr">
        <is>
          <t>NOT</t>
        </is>
      </c>
    </row>
    <row r="4">
      <c r="A4" s="4" t="n">
        <v>1</v>
      </c>
      <c r="B4" s="4" t="n">
        <v>1</v>
      </c>
      <c r="C4" s="4" t="inlineStr">
        <is>
          <t>12" SCH XS BORU ..... 215</t>
        </is>
      </c>
      <c r="D4" s="4" t="inlineStr">
        <is>
          <t>ASTM A 106 Gr.B</t>
        </is>
      </c>
      <c r="E4" s="4" t="n">
        <v>21.5</v>
      </c>
      <c r="F4" s="4" t="n">
        <v>21.5</v>
      </c>
      <c r="G4" s="4" t="inlineStr">
        <is>
          <t>Kesim + Kaynak</t>
        </is>
      </c>
      <c r="H4" s="4" t="inlineStr"/>
    </row>
    <row r="5">
      <c r="A5" s="5" t="n">
        <v>2</v>
      </c>
      <c r="B5" s="5" t="n">
        <v>1</v>
      </c>
      <c r="C5" s="5" t="inlineStr">
        <is>
          <t>12" 150# SO. RF. FLANS</t>
        </is>
      </c>
      <c r="D5" s="5" t="inlineStr">
        <is>
          <t>ASTM A 105</t>
        </is>
      </c>
      <c r="E5" s="5" t="n">
        <v>29</v>
      </c>
      <c r="F5" s="5" t="n">
        <v>29</v>
      </c>
      <c r="G5" s="5" t="inlineStr">
        <is>
          <t>Kaynak</t>
        </is>
      </c>
      <c r="H5" s="5" t="inlineStr"/>
    </row>
    <row r="6">
      <c r="A6" s="4" t="n">
        <v>3</v>
      </c>
      <c r="B6" s="4" t="n">
        <v>1</v>
      </c>
      <c r="C6" s="4" t="inlineStr">
        <is>
          <t>⊏ 8×327×685  PLAKA</t>
        </is>
      </c>
      <c r="D6" s="4" t="inlineStr">
        <is>
          <t>S275J2</t>
        </is>
      </c>
      <c r="E6" s="4" t="n">
        <v>18</v>
      </c>
      <c r="F6" s="4" t="n">
        <v>18</v>
      </c>
      <c r="G6" s="4" t="inlineStr">
        <is>
          <t>Kesim + Kaynak</t>
        </is>
      </c>
      <c r="H6" s="4" t="inlineStr"/>
    </row>
    <row r="7">
      <c r="A7" s="6" t="inlineStr">
        <is>
          <t>TOPLAM AĞIRLIK (1 ADET): 68.5 Kg  (1 adet: 68.5 Kg)</t>
        </is>
      </c>
      <c r="F7" s="7" t="n">
        <v>68.5</v>
      </c>
      <c r="G7" s="7" t="inlineStr"/>
      <c r="H7" s="7" t="inlineStr"/>
    </row>
    <row r="9">
      <c r="A9" s="2" t="inlineStr">
        <is>
          <t>(8") N8 = NOZULU   |   İmalat Adedi: 1   |   Her tank için 1 adet</t>
        </is>
      </c>
    </row>
    <row r="10" ht="30" customHeight="1">
      <c r="A10" s="3" t="inlineStr">
        <is>
          <t>POZ</t>
        </is>
      </c>
      <c r="B10" s="3" t="inlineStr">
        <is>
          <t>ADET</t>
        </is>
      </c>
      <c r="C10" s="3" t="inlineStr">
        <is>
          <t>AÇIKLAMA</t>
        </is>
      </c>
      <c r="D10" s="3" t="inlineStr">
        <is>
          <t>MALZEME</t>
        </is>
      </c>
      <c r="E10" s="3" t="inlineStr">
        <is>
          <t>BİRİM
AĞIRLIK (kg)</t>
        </is>
      </c>
      <c r="F10" s="3" t="inlineStr">
        <is>
          <t>TOPLAM
AĞIRLIK (kg)</t>
        </is>
      </c>
      <c r="G10" s="3" t="inlineStr">
        <is>
          <t>OP. TÜRÜ</t>
        </is>
      </c>
      <c r="H10" s="3" t="inlineStr">
        <is>
          <t>NOT</t>
        </is>
      </c>
    </row>
    <row r="11">
      <c r="A11" s="4" t="n">
        <v>1</v>
      </c>
      <c r="B11" s="4" t="n">
        <v>1</v>
      </c>
      <c r="C11" s="4" t="inlineStr">
        <is>
          <t>8" SCH XS BORU ..... 221</t>
        </is>
      </c>
      <c r="D11" s="4" t="inlineStr">
        <is>
          <t>ASTM A 106 Gr.B</t>
        </is>
      </c>
      <c r="E11" s="4" t="n">
        <v>11.4</v>
      </c>
      <c r="F11" s="4" t="n">
        <v>11.4</v>
      </c>
      <c r="G11" s="4" t="inlineStr">
        <is>
          <t>Kesim + Kaynak</t>
        </is>
      </c>
      <c r="H11" s="4" t="inlineStr"/>
    </row>
    <row r="12">
      <c r="A12" s="5" t="n">
        <v>2</v>
      </c>
      <c r="B12" s="5" t="n">
        <v>1</v>
      </c>
      <c r="C12" s="5" t="inlineStr">
        <is>
          <t>8" 150# SO. RF. FLANS</t>
        </is>
      </c>
      <c r="D12" s="5" t="inlineStr">
        <is>
          <t>ASTM A 105</t>
        </is>
      </c>
      <c r="E12" s="5" t="n">
        <v>13.5</v>
      </c>
      <c r="F12" s="5" t="n">
        <v>13.5</v>
      </c>
      <c r="G12" s="5" t="inlineStr">
        <is>
          <t>Kaynak</t>
        </is>
      </c>
      <c r="H12" s="5" t="inlineStr"/>
    </row>
    <row r="13">
      <c r="A13" s="4" t="n">
        <v>3</v>
      </c>
      <c r="B13" s="4" t="n">
        <v>1</v>
      </c>
      <c r="C13" s="4" t="inlineStr">
        <is>
          <t>⊏ 6×485×222  PLAKA</t>
        </is>
      </c>
      <c r="D13" s="4" t="inlineStr">
        <is>
          <t>S275J2</t>
        </is>
      </c>
      <c r="E13" s="4" t="n">
        <v>7</v>
      </c>
      <c r="F13" s="4" t="n">
        <v>7</v>
      </c>
      <c r="G13" s="4" t="inlineStr">
        <is>
          <t>Kesim + Kaynak</t>
        </is>
      </c>
      <c r="H13" s="4" t="inlineStr"/>
    </row>
    <row r="14">
      <c r="A14" s="6" t="inlineStr">
        <is>
          <t>TOPLAM AĞIRLIK (1 ADET): 31.9 Kg  (1 adet: 31.9 Kg)</t>
        </is>
      </c>
      <c r="F14" s="7" t="n">
        <v>31.9</v>
      </c>
      <c r="G14" s="7" t="inlineStr"/>
      <c r="H14" s="7" t="inlineStr"/>
    </row>
    <row r="16">
      <c r="A16" s="2" t="inlineStr">
        <is>
          <t>(4") N9 = NOZULU   |   İmalat Adedi: 1   |   Her tank için 1 adet</t>
        </is>
      </c>
    </row>
    <row r="17" ht="30" customHeight="1">
      <c r="A17" s="3" t="inlineStr">
        <is>
          <t>POZ</t>
        </is>
      </c>
      <c r="B17" s="3" t="inlineStr">
        <is>
          <t>ADET</t>
        </is>
      </c>
      <c r="C17" s="3" t="inlineStr">
        <is>
          <t>AÇIKLAMA</t>
        </is>
      </c>
      <c r="D17" s="3" t="inlineStr">
        <is>
          <t>MALZEME</t>
        </is>
      </c>
      <c r="E17" s="3" t="inlineStr">
        <is>
          <t>BİRİM
AĞIRLIK (kg)</t>
        </is>
      </c>
      <c r="F17" s="3" t="inlineStr">
        <is>
          <t>TOPLAM
AĞIRLIK (kg)</t>
        </is>
      </c>
      <c r="G17" s="3" t="inlineStr">
        <is>
          <t>OP. TÜRÜ</t>
        </is>
      </c>
      <c r="H17" s="3" t="inlineStr">
        <is>
          <t>NOT</t>
        </is>
      </c>
    </row>
    <row r="18">
      <c r="A18" s="4" t="n">
        <v>1</v>
      </c>
      <c r="B18" s="4" t="n">
        <v>1</v>
      </c>
      <c r="C18" s="4" t="inlineStr">
        <is>
          <t>4" SCH XS BORU ..... 215</t>
        </is>
      </c>
      <c r="D18" s="4" t="inlineStr">
        <is>
          <t>ASTM A 106 Gr.B</t>
        </is>
      </c>
      <c r="E18" s="4" t="n">
        <v>4.8</v>
      </c>
      <c r="F18" s="4" t="n">
        <v>4.8</v>
      </c>
      <c r="G18" s="4" t="inlineStr">
        <is>
          <t>Kesim + Kaynak</t>
        </is>
      </c>
      <c r="H18" s="4" t="inlineStr"/>
    </row>
    <row r="19">
      <c r="A19" s="5" t="n">
        <v>2</v>
      </c>
      <c r="B19" s="5" t="n">
        <v>1</v>
      </c>
      <c r="C19" s="5" t="inlineStr">
        <is>
          <t>4" 150# SO. RF. FLANS</t>
        </is>
      </c>
      <c r="D19" s="5" t="inlineStr">
        <is>
          <t>ASTM A 105</t>
        </is>
      </c>
      <c r="E19" s="5" t="n">
        <v>5.9</v>
      </c>
      <c r="F19" s="5" t="n">
        <v>5.9</v>
      </c>
      <c r="G19" s="5" t="inlineStr">
        <is>
          <t>Kaynak</t>
        </is>
      </c>
      <c r="H19" s="5" t="inlineStr"/>
    </row>
    <row r="20">
      <c r="A20" s="4" t="n">
        <v>3</v>
      </c>
      <c r="B20" s="4" t="n">
        <v>1</v>
      </c>
      <c r="C20" s="4" t="inlineStr">
        <is>
          <t>⊏ 8×305×117  PLAKA</t>
        </is>
      </c>
      <c r="D20" s="4" t="inlineStr">
        <is>
          <t>A 283 Gr.C</t>
        </is>
      </c>
      <c r="E20" s="4" t="n">
        <v>4</v>
      </c>
      <c r="F20" s="4" t="n">
        <v>4</v>
      </c>
      <c r="G20" s="4" t="inlineStr">
        <is>
          <t>Kesim + Kaynak</t>
        </is>
      </c>
      <c r="H20" s="4" t="inlineStr"/>
    </row>
    <row r="21">
      <c r="A21" s="6" t="inlineStr">
        <is>
          <t>TOPLAM AĞIRLIK (1 ADET): 14.7 Kg  (1 adet: 14.7 Kg)</t>
        </is>
      </c>
      <c r="F21" s="7" t="n">
        <v>14.7</v>
      </c>
      <c r="G21" s="7" t="inlineStr"/>
      <c r="H21" s="7" t="inlineStr"/>
    </row>
    <row r="23">
      <c r="A23" s="2" t="inlineStr">
        <is>
          <t>(1½") N9 = NOZULU   |   İmalat Adedi: 1   |   Her tank için 1 adet</t>
        </is>
      </c>
    </row>
    <row r="24" ht="30" customHeight="1">
      <c r="A24" s="3" t="inlineStr">
        <is>
          <t>POZ</t>
        </is>
      </c>
      <c r="B24" s="3" t="inlineStr">
        <is>
          <t>ADET</t>
        </is>
      </c>
      <c r="C24" s="3" t="inlineStr">
        <is>
          <t>AÇIKLAMA</t>
        </is>
      </c>
      <c r="D24" s="3" t="inlineStr">
        <is>
          <t>MALZEME</t>
        </is>
      </c>
      <c r="E24" s="3" t="inlineStr">
        <is>
          <t>BİRİM
AĞIRLIK (kg)</t>
        </is>
      </c>
      <c r="F24" s="3" t="inlineStr">
        <is>
          <t>TOPLAM
AĞIRLIK (kg)</t>
        </is>
      </c>
      <c r="G24" s="3" t="inlineStr">
        <is>
          <t>OP. TÜRÜ</t>
        </is>
      </c>
      <c r="H24" s="3" t="inlineStr">
        <is>
          <t>NOT</t>
        </is>
      </c>
    </row>
    <row r="25">
      <c r="A25" s="4" t="n">
        <v>1</v>
      </c>
      <c r="B25" s="4" t="n">
        <v>1</v>
      </c>
      <c r="C25" s="4" t="inlineStr">
        <is>
          <t>1½" SCH XS BORU ..... 165</t>
        </is>
      </c>
      <c r="D25" s="4" t="inlineStr">
        <is>
          <t>ASTM A 106 Gr.B</t>
        </is>
      </c>
      <c r="E25" s="4" t="n">
        <v>0.7</v>
      </c>
      <c r="F25" s="4" t="n">
        <v>0.7</v>
      </c>
      <c r="G25" s="4" t="inlineStr">
        <is>
          <t>Kesim + Kaynak</t>
        </is>
      </c>
      <c r="H25" s="4" t="inlineStr"/>
    </row>
    <row r="26">
      <c r="A26" s="5" t="n">
        <v>2</v>
      </c>
      <c r="B26" s="5" t="n">
        <v>1</v>
      </c>
      <c r="C26" s="5" t="inlineStr">
        <is>
          <t>1½" 150# SO. RF. FLANS</t>
        </is>
      </c>
      <c r="D26" s="5" t="inlineStr">
        <is>
          <t>ASTM A 105</t>
        </is>
      </c>
      <c r="E26" s="5" t="n">
        <v>1.95</v>
      </c>
      <c r="F26" s="5" t="n">
        <v>1.95</v>
      </c>
      <c r="G26" s="5" t="inlineStr">
        <is>
          <t>Kaynak</t>
        </is>
      </c>
      <c r="H26" s="5" t="inlineStr"/>
    </row>
    <row r="27">
      <c r="A27" s="6" t="inlineStr">
        <is>
          <t>TOPLAM AĞIRLIK (1 ADET): 2.6 Kg  (1 adet: 2.65 Kg)</t>
        </is>
      </c>
      <c r="F27" s="7" t="n">
        <v>2.6</v>
      </c>
      <c r="G27" s="7" t="inlineStr"/>
      <c r="H27" s="7" t="inlineStr"/>
    </row>
    <row r="29">
      <c r="A29" s="2" t="inlineStr">
        <is>
          <t>(1") N18 = NOZULU   |   İmalat Adedi: 1   |   Her tank için 1 adet</t>
        </is>
      </c>
    </row>
    <row r="30" ht="30" customHeight="1">
      <c r="A30" s="3" t="inlineStr">
        <is>
          <t>POZ</t>
        </is>
      </c>
      <c r="B30" s="3" t="inlineStr">
        <is>
          <t>ADET</t>
        </is>
      </c>
      <c r="C30" s="3" t="inlineStr">
        <is>
          <t>AÇIKLAMA</t>
        </is>
      </c>
      <c r="D30" s="3" t="inlineStr">
        <is>
          <t>MALZEME</t>
        </is>
      </c>
      <c r="E30" s="3" t="inlineStr">
        <is>
          <t>BİRİM
AĞIRLIK (kg)</t>
        </is>
      </c>
      <c r="F30" s="3" t="inlineStr">
        <is>
          <t>TOPLAM
AĞIRLIK (kg)</t>
        </is>
      </c>
      <c r="G30" s="3" t="inlineStr">
        <is>
          <t>OP. TÜRÜ</t>
        </is>
      </c>
      <c r="H30" s="3" t="inlineStr">
        <is>
          <t>NOT</t>
        </is>
      </c>
    </row>
    <row r="31">
      <c r="A31" s="4" t="n">
        <v>1</v>
      </c>
      <c r="B31" s="4" t="n">
        <v>1</v>
      </c>
      <c r="C31" s="4" t="inlineStr">
        <is>
          <t>1" SCH XS BORU ..... 165</t>
        </is>
      </c>
      <c r="D31" s="4" t="inlineStr">
        <is>
          <t>ASTM A 106 Gr.B</t>
        </is>
      </c>
      <c r="E31" s="4" t="n">
        <v>0.7</v>
      </c>
      <c r="F31" s="4" t="n">
        <v>0.7</v>
      </c>
      <c r="G31" s="4" t="inlineStr">
        <is>
          <t>Kesim + Kaynak</t>
        </is>
      </c>
      <c r="H31" s="4" t="inlineStr"/>
    </row>
    <row r="32">
      <c r="A32" s="5" t="n">
        <v>2</v>
      </c>
      <c r="B32" s="5" t="n">
        <v>1</v>
      </c>
      <c r="C32" s="5" t="inlineStr">
        <is>
          <t>1" 150# SO. RF. FLANS</t>
        </is>
      </c>
      <c r="D32" s="5" t="inlineStr">
        <is>
          <t>ASTM A 105</t>
        </is>
      </c>
      <c r="E32" s="5" t="n">
        <v>1</v>
      </c>
      <c r="F32" s="5" t="n">
        <v>1</v>
      </c>
      <c r="G32" s="5" t="inlineStr">
        <is>
          <t>Kaynak</t>
        </is>
      </c>
      <c r="H32" s="5" t="inlineStr"/>
    </row>
    <row r="33">
      <c r="A33" s="6" t="inlineStr">
        <is>
          <t>TOPLAM AĞIRLIK (1 ADET): 1.7 Kg  (1 adet: 1.7 Kg)</t>
        </is>
      </c>
      <c r="F33" s="7" t="n">
        <v>1.7</v>
      </c>
      <c r="G33" s="7" t="inlineStr"/>
      <c r="H33" s="7" t="inlineStr"/>
    </row>
    <row r="35">
      <c r="A35" s="2" t="inlineStr">
        <is>
          <t>(12") N21 = NOZULU   |   İmalat Adedi: 4   |   4 adet imal edilecektir</t>
        </is>
      </c>
    </row>
    <row r="36" ht="30" customHeight="1">
      <c r="A36" s="3" t="inlineStr">
        <is>
          <t>POZ</t>
        </is>
      </c>
      <c r="B36" s="3" t="inlineStr">
        <is>
          <t>ADET</t>
        </is>
      </c>
      <c r="C36" s="3" t="inlineStr">
        <is>
          <t>AÇIKLAMA</t>
        </is>
      </c>
      <c r="D36" s="3" t="inlineStr">
        <is>
          <t>MALZEME</t>
        </is>
      </c>
      <c r="E36" s="3" t="inlineStr">
        <is>
          <t>BİRİM
AĞIRLIK (kg)</t>
        </is>
      </c>
      <c r="F36" s="3" t="inlineStr">
        <is>
          <t>TOPLAM
AĞIRLIK (kg)</t>
        </is>
      </c>
      <c r="G36" s="3" t="inlineStr">
        <is>
          <t>OP. TÜRÜ</t>
        </is>
      </c>
      <c r="H36" s="3" t="inlineStr">
        <is>
          <t>NOT</t>
        </is>
      </c>
    </row>
    <row r="37">
      <c r="A37" s="4" t="n">
        <v>1</v>
      </c>
      <c r="B37" s="4" t="n">
        <v>1</v>
      </c>
      <c r="C37" s="4" t="inlineStr">
        <is>
          <t>12" SCH XS BORU ..... 290</t>
        </is>
      </c>
      <c r="D37" s="4" t="inlineStr">
        <is>
          <t>ASTM A 106 Gr.B</t>
        </is>
      </c>
      <c r="E37" s="4" t="n">
        <v>28</v>
      </c>
      <c r="F37" s="4" t="n">
        <v>28</v>
      </c>
      <c r="G37" s="4" t="inlineStr">
        <is>
          <t>Kesim + Kaynak</t>
        </is>
      </c>
      <c r="H37" s="4" t="inlineStr"/>
    </row>
    <row r="38">
      <c r="A38" s="5" t="n">
        <v>2</v>
      </c>
      <c r="B38" s="5" t="n">
        <v>1</v>
      </c>
      <c r="C38" s="5" t="inlineStr">
        <is>
          <t>12"-90° Elbow LR BW ASME B16.5 SCH40</t>
        </is>
      </c>
      <c r="D38" s="5" t="inlineStr">
        <is>
          <t>ASTM A 234 Gr.WPB</t>
        </is>
      </c>
      <c r="E38" s="5" t="n">
        <v>29</v>
      </c>
      <c r="F38" s="5" t="n">
        <v>29</v>
      </c>
      <c r="G38" s="5" t="inlineStr">
        <is>
          <t>Kaynak</t>
        </is>
      </c>
      <c r="H38" s="5" t="inlineStr"/>
    </row>
    <row r="39">
      <c r="A39" s="4" t="n">
        <v>3</v>
      </c>
      <c r="B39" s="4" t="n">
        <v>1</v>
      </c>
      <c r="C39" s="4" t="inlineStr">
        <is>
          <t>⊏ 8×327×685  PLAKA</t>
        </is>
      </c>
      <c r="D39" s="4" t="inlineStr">
        <is>
          <t>S275J2</t>
        </is>
      </c>
      <c r="E39" s="4" t="n">
        <v>18</v>
      </c>
      <c r="F39" s="4" t="n">
        <v>18</v>
      </c>
      <c r="G39" s="4" t="inlineStr">
        <is>
          <t>Kesim + Kaynak</t>
        </is>
      </c>
      <c r="H39" s="4" t="inlineStr"/>
    </row>
    <row r="40">
      <c r="A40" s="6" t="inlineStr">
        <is>
          <t>TOPLAM AĞIRLIK (4 ADET): 244.4 Kg  (1 adet: 61.1 Kg)</t>
        </is>
      </c>
      <c r="F40" s="7" t="n">
        <v>244.4</v>
      </c>
      <c r="G40" s="7" t="inlineStr"/>
      <c r="H40" s="7" t="inlineStr"/>
    </row>
    <row r="42">
      <c r="A42" s="2" t="inlineStr">
        <is>
          <t>(6") N3 = NOZULU   |   İmalat Adedi: 2   |   2 adet imal edilecektir</t>
        </is>
      </c>
    </row>
    <row r="43" ht="30" customHeight="1">
      <c r="A43" s="3" t="inlineStr">
        <is>
          <t>POZ</t>
        </is>
      </c>
      <c r="B43" s="3" t="inlineStr">
        <is>
          <t>ADET</t>
        </is>
      </c>
      <c r="C43" s="3" t="inlineStr">
        <is>
          <t>AÇIKLAMA</t>
        </is>
      </c>
      <c r="D43" s="3" t="inlineStr">
        <is>
          <t>MALZEME</t>
        </is>
      </c>
      <c r="E43" s="3" t="inlineStr">
        <is>
          <t>BİRİM
AĞIRLIK (kg)</t>
        </is>
      </c>
      <c r="F43" s="3" t="inlineStr">
        <is>
          <t>TOPLAM
AĞIRLIK (kg)</t>
        </is>
      </c>
      <c r="G43" s="3" t="inlineStr">
        <is>
          <t>OP. TÜRÜ</t>
        </is>
      </c>
      <c r="H43" s="3" t="inlineStr">
        <is>
          <t>NOT</t>
        </is>
      </c>
    </row>
    <row r="44">
      <c r="A44" s="4" t="n">
        <v>1</v>
      </c>
      <c r="B44" s="4" t="n">
        <v>1</v>
      </c>
      <c r="C44" s="4" t="inlineStr">
        <is>
          <t>6" 150# SO. RF. FLANS</t>
        </is>
      </c>
      <c r="D44" s="4" t="inlineStr">
        <is>
          <t>ASTM A 105</t>
        </is>
      </c>
      <c r="E44" s="4" t="n">
        <v>5.9</v>
      </c>
      <c r="F44" s="4" t="n">
        <v>5.9</v>
      </c>
      <c r="G44" s="4" t="inlineStr">
        <is>
          <t>Kaynak</t>
        </is>
      </c>
      <c r="H44" s="4" t="inlineStr"/>
    </row>
    <row r="45">
      <c r="A45" s="5" t="n">
        <v>2</v>
      </c>
      <c r="B45" s="5" t="n">
        <v>1</v>
      </c>
      <c r="C45" s="5" t="inlineStr">
        <is>
          <t>6" SCH XS BORU ..... 360</t>
        </is>
      </c>
      <c r="D45" s="5" t="inlineStr">
        <is>
          <t>ASTM A 106 Gr.B</t>
        </is>
      </c>
      <c r="E45" s="5" t="n">
        <v>9.6</v>
      </c>
      <c r="F45" s="5" t="n">
        <v>9.6</v>
      </c>
      <c r="G45" s="5" t="inlineStr">
        <is>
          <t>Kesim + Kaynak</t>
        </is>
      </c>
      <c r="H45" s="5" t="inlineStr"/>
    </row>
    <row r="46">
      <c r="A46" s="4" t="n">
        <v>3</v>
      </c>
      <c r="B46" s="4" t="n">
        <v>1</v>
      </c>
      <c r="C46" s="4" t="inlineStr">
        <is>
          <t>6" SCH XS BORU ..... 870</t>
        </is>
      </c>
      <c r="D46" s="4" t="inlineStr">
        <is>
          <t>ASTM A 106 Gr.B</t>
        </is>
      </c>
      <c r="E46" s="4" t="n">
        <v>23.2</v>
      </c>
      <c r="F46" s="4" t="n">
        <v>23.2</v>
      </c>
      <c r="G46" s="4" t="inlineStr">
        <is>
          <t>Kesim + Kaynak</t>
        </is>
      </c>
      <c r="H46" s="4" t="inlineStr"/>
    </row>
    <row r="47">
      <c r="A47" s="5" t="n">
        <v>4</v>
      </c>
      <c r="B47" s="5" t="n">
        <v>1</v>
      </c>
      <c r="C47" s="5" t="inlineStr">
        <is>
          <t>6" SCH XS DİRSEK 90° LR BW.</t>
        </is>
      </c>
      <c r="D47" s="5" t="inlineStr">
        <is>
          <t>ASTM A 234WPB</t>
        </is>
      </c>
      <c r="E47" s="5" t="n">
        <v>5.4</v>
      </c>
      <c r="F47" s="5" t="n">
        <v>5.4</v>
      </c>
      <c r="G47" s="5" t="inlineStr">
        <is>
          <t>Kaynak</t>
        </is>
      </c>
      <c r="H47" s="5" t="inlineStr"/>
    </row>
    <row r="48">
      <c r="A48" s="4" t="n">
        <v>5</v>
      </c>
      <c r="B48" s="4" t="n">
        <v>1</v>
      </c>
      <c r="C48" s="4" t="inlineStr">
        <is>
          <t>6" SCH XS BORU ..... 540</t>
        </is>
      </c>
      <c r="D48" s="4" t="inlineStr">
        <is>
          <t>ASTM A 106 Gr.B</t>
        </is>
      </c>
      <c r="E48" s="4" t="n">
        <v>14.4</v>
      </c>
      <c r="F48" s="4" t="n">
        <v>14.4</v>
      </c>
      <c r="G48" s="4" t="inlineStr">
        <is>
          <t>Kesim + Kaynak</t>
        </is>
      </c>
      <c r="H48" s="4" t="inlineStr"/>
    </row>
    <row r="49">
      <c r="A49" s="5" t="n">
        <v>6</v>
      </c>
      <c r="B49" s="5" t="n">
        <v>1</v>
      </c>
      <c r="C49" s="5" t="inlineStr">
        <is>
          <t>⊏ 50×10 ............ 150</t>
        </is>
      </c>
      <c r="D49" s="5" t="inlineStr">
        <is>
          <t>S275J2</t>
        </is>
      </c>
      <c r="E49" s="5" t="n">
        <v>0.6</v>
      </c>
      <c r="F49" s="5" t="n">
        <v>0.6</v>
      </c>
      <c r="G49" s="5" t="inlineStr">
        <is>
          <t>Kesim + Kaynak</t>
        </is>
      </c>
      <c r="H49" s="5" t="inlineStr"/>
    </row>
    <row r="50">
      <c r="A50" s="4" t="n">
        <v>7</v>
      </c>
      <c r="B50" s="4" t="n">
        <v>4</v>
      </c>
      <c r="C50" s="4" t="inlineStr">
        <is>
          <t>M12 SOMUN</t>
        </is>
      </c>
      <c r="D50" s="4" t="inlineStr">
        <is>
          <t>A 194 Gr.2H</t>
        </is>
      </c>
      <c r="E50" s="4" t="inlineStr">
        <is>
          <t>–</t>
        </is>
      </c>
      <c r="F50" s="4" t="inlineStr">
        <is>
          <t>–</t>
        </is>
      </c>
      <c r="G50" s="4" t="inlineStr">
        <is>
          <t>Montaj</t>
        </is>
      </c>
      <c r="H50" s="4" t="inlineStr"/>
    </row>
    <row r="51">
      <c r="A51" s="5" t="n">
        <v>8</v>
      </c>
      <c r="B51" s="5" t="n">
        <v>1</v>
      </c>
      <c r="C51" s="5" t="inlineStr">
        <is>
          <t>M12×594  U CİVATA</t>
        </is>
      </c>
      <c r="D51" s="5" t="inlineStr">
        <is>
          <t>A 193 Gr.B7</t>
        </is>
      </c>
      <c r="E51" s="5" t="inlineStr">
        <is>
          <t>–</t>
        </is>
      </c>
      <c r="F51" s="5" t="inlineStr">
        <is>
          <t>–</t>
        </is>
      </c>
      <c r="G51" s="5" t="inlineStr">
        <is>
          <t>Montaj</t>
        </is>
      </c>
      <c r="H51" s="5" t="inlineStr"/>
    </row>
    <row r="52">
      <c r="A52" s="4" t="n">
        <v>9</v>
      </c>
      <c r="B52" s="4" t="n">
        <v>1</v>
      </c>
      <c r="C52" s="4" t="inlineStr">
        <is>
          <t>L 60×60×6 ..... 140</t>
        </is>
      </c>
      <c r="D52" s="4" t="inlineStr">
        <is>
          <t>S235JR</t>
        </is>
      </c>
      <c r="E52" s="4" t="n">
        <v>0.76</v>
      </c>
      <c r="F52" s="4" t="n">
        <v>0.76</v>
      </c>
      <c r="G52" s="4" t="inlineStr"/>
      <c r="H52" s="4" t="inlineStr"/>
    </row>
    <row r="53">
      <c r="A53" s="5" t="n">
        <v>10</v>
      </c>
      <c r="B53" s="5" t="n">
        <v>1</v>
      </c>
      <c r="C53" s="5" t="inlineStr">
        <is>
          <t>L 60×60×6 ..... 280</t>
        </is>
      </c>
      <c r="D53" s="5" t="inlineStr">
        <is>
          <t>S235JR</t>
        </is>
      </c>
      <c r="E53" s="5" t="n">
        <v>1.52</v>
      </c>
      <c r="F53" s="5" t="n">
        <v>1.52</v>
      </c>
      <c r="G53" s="5" t="inlineStr"/>
      <c r="H53" s="5" t="inlineStr"/>
    </row>
    <row r="54">
      <c r="A54" s="4" t="n">
        <v>11</v>
      </c>
      <c r="B54" s="4" t="n">
        <v>1</v>
      </c>
      <c r="C54" s="4" t="inlineStr">
        <is>
          <t>⊏ 90×10 ............ 90</t>
        </is>
      </c>
      <c r="D54" s="4" t="inlineStr">
        <is>
          <t>S275J2</t>
        </is>
      </c>
      <c r="E54" s="4" t="n">
        <v>0.65</v>
      </c>
      <c r="F54" s="4" t="n">
        <v>0.65</v>
      </c>
      <c r="G54" s="4" t="inlineStr">
        <is>
          <t>Kesim + Kaynak</t>
        </is>
      </c>
      <c r="H54" s="4" t="inlineStr"/>
    </row>
    <row r="55">
      <c r="A55" s="6" t="inlineStr">
        <is>
          <t>TOPLAM AĞIRLIK (2 ADET): 124.0 Kg  (1 adet: 62.0 Kg)</t>
        </is>
      </c>
      <c r="F55" s="7" t="n">
        <v>124</v>
      </c>
      <c r="G55" s="7" t="inlineStr"/>
      <c r="H55" s="7" t="inlineStr"/>
    </row>
  </sheetData>
  <mergeCells count="15">
    <mergeCell ref="A9:H9"/>
    <mergeCell ref="A1:H1"/>
    <mergeCell ref="A21:E21"/>
    <mergeCell ref="A55:E55"/>
    <mergeCell ref="A29:H29"/>
    <mergeCell ref="A35:H35"/>
    <mergeCell ref="A7:E7"/>
    <mergeCell ref="A2:H2"/>
    <mergeCell ref="A16:H16"/>
    <mergeCell ref="A33:E33"/>
    <mergeCell ref="A42:H42"/>
    <mergeCell ref="A14:E14"/>
    <mergeCell ref="A23:H23"/>
    <mergeCell ref="A40:E40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20" customWidth="1" min="4" max="4"/>
    <col width="14" customWidth="1" min="5" max="5"/>
    <col width="14" customWidth="1" min="6" max="6"/>
    <col width="20" customWidth="1" min="7" max="7"/>
  </cols>
  <sheetData>
    <row r="1" ht="22" customHeight="1">
      <c r="A1" s="1" t="inlineStr">
        <is>
          <t>7000 Bbl ÜRETİM TANKI T-202A/B/C — MANHOL MALZEME LİSTELERİ</t>
        </is>
      </c>
    </row>
    <row r="2">
      <c r="A2" s="2" t="inlineStr">
        <is>
          <t>24" GÖVDE MANHOLU (M1)</t>
        </is>
      </c>
    </row>
    <row r="3" ht="30" customHeight="1">
      <c r="A3" s="3" t="inlineStr">
        <is>
          <t>POZ</t>
        </is>
      </c>
      <c r="B3" s="3" t="inlineStr">
        <is>
          <t>ADET</t>
        </is>
      </c>
      <c r="C3" s="3" t="inlineStr">
        <is>
          <t>AÇIKLAMA</t>
        </is>
      </c>
      <c r="D3" s="3" t="inlineStr">
        <is>
          <t>MALZEME</t>
        </is>
      </c>
      <c r="E3" s="3" t="inlineStr">
        <is>
          <t>BİRİM
AĞIRLIK (kg)</t>
        </is>
      </c>
      <c r="F3" s="3" t="inlineStr">
        <is>
          <t>TOPLAM
AĞIRLIK (kg)</t>
        </is>
      </c>
      <c r="G3" s="3" t="inlineStr">
        <is>
          <t>OP. TÜRÜ</t>
        </is>
      </c>
    </row>
    <row r="4">
      <c r="A4" s="4" t="n">
        <v>1</v>
      </c>
      <c r="B4" s="4" t="n">
        <v>1</v>
      </c>
      <c r="C4" s="4" t="inlineStr">
        <is>
          <t>⊂ ø176×8 .........1885</t>
        </is>
      </c>
      <c r="D4" s="4" t="inlineStr">
        <is>
          <t>S275J2</t>
        </is>
      </c>
      <c r="E4" s="4" t="n">
        <v>20.8</v>
      </c>
      <c r="F4" s="4" t="n">
        <v>20.8</v>
      </c>
      <c r="G4" s="4" t="inlineStr">
        <is>
          <t>Kesim + Kaynak</t>
        </is>
      </c>
    </row>
    <row r="5">
      <c r="A5" s="5" t="n">
        <v>2</v>
      </c>
      <c r="B5" s="5" t="n">
        <v>1</v>
      </c>
      <c r="C5" s="5" t="inlineStr">
        <is>
          <t>⊏ ø820\ø616×10  HALKA</t>
        </is>
      </c>
      <c r="D5" s="5" t="inlineStr">
        <is>
          <t>S275J2</t>
        </is>
      </c>
      <c r="E5" s="5" t="n">
        <v>18</v>
      </c>
      <c r="F5" s="5" t="n">
        <v>18</v>
      </c>
      <c r="G5" s="5" t="inlineStr">
        <is>
          <t>Kesim + Kaynak</t>
        </is>
      </c>
    </row>
    <row r="6">
      <c r="A6" s="4" t="n">
        <v>3</v>
      </c>
      <c r="B6" s="4" t="n">
        <v>1</v>
      </c>
      <c r="C6" s="4" t="inlineStr">
        <is>
          <t>ø820×12  DAİRE PLAKA</t>
        </is>
      </c>
      <c r="D6" s="4" t="inlineStr">
        <is>
          <t>S275J2</t>
        </is>
      </c>
      <c r="E6" s="4" t="n">
        <v>49.8</v>
      </c>
      <c r="F6" s="4" t="n">
        <v>49.8</v>
      </c>
      <c r="G6" s="4" t="inlineStr">
        <is>
          <t>Kesim + Kaynak</t>
        </is>
      </c>
    </row>
    <row r="7">
      <c r="A7" s="5" t="n">
        <v>4</v>
      </c>
      <c r="B7" s="5" t="n">
        <v>1</v>
      </c>
      <c r="C7" s="5" t="inlineStr">
        <is>
          <t>⊏ 1255×8 .........1525</t>
        </is>
      </c>
      <c r="D7" s="5" t="inlineStr">
        <is>
          <t>S275J2</t>
        </is>
      </c>
      <c r="E7" s="5" t="n">
        <v>69.5</v>
      </c>
      <c r="F7" s="5" t="n">
        <v>69.5</v>
      </c>
      <c r="G7" s="5" t="inlineStr">
        <is>
          <t>Kesim + Kaynak</t>
        </is>
      </c>
    </row>
    <row r="8">
      <c r="A8" s="4" t="n">
        <v>5</v>
      </c>
      <c r="B8" s="4" t="n">
        <v>1</v>
      </c>
      <c r="C8" s="4" t="inlineStr">
        <is>
          <t>ø735×ø610×3  GASKET</t>
        </is>
      </c>
      <c r="D8" s="4" t="inlineStr">
        <is>
          <t>KLİNGERİT</t>
        </is>
      </c>
      <c r="E8" s="4" t="inlineStr">
        <is>
          <t>–</t>
        </is>
      </c>
      <c r="F8" s="4" t="inlineStr">
        <is>
          <t>–</t>
        </is>
      </c>
      <c r="G8" s="4" t="inlineStr">
        <is>
          <t>Montaj</t>
        </is>
      </c>
    </row>
    <row r="9">
      <c r="A9" s="5" t="n">
        <v>6</v>
      </c>
      <c r="B9" s="5" t="n">
        <v>2</v>
      </c>
      <c r="C9" s="5" t="inlineStr">
        <is>
          <t>ø16×318  YUVARLAK BORU</t>
        </is>
      </c>
      <c r="D9" s="5" t="inlineStr">
        <is>
          <t>S235JR</t>
        </is>
      </c>
      <c r="E9" s="5" t="n">
        <v>1</v>
      </c>
      <c r="F9" s="5" t="n">
        <v>2</v>
      </c>
      <c r="G9" s="5" t="inlineStr">
        <is>
          <t>Kaynak</t>
        </is>
      </c>
    </row>
    <row r="10">
      <c r="A10" s="4" t="n">
        <v>7</v>
      </c>
      <c r="B10" s="4" t="n">
        <v>1</v>
      </c>
      <c r="C10" s="4" t="inlineStr">
        <is>
          <t>ø40×1083  BORU</t>
        </is>
      </c>
      <c r="D10" s="4" t="inlineStr">
        <is>
          <t>S235JR</t>
        </is>
      </c>
      <c r="E10" s="4" t="n">
        <v>11</v>
      </c>
      <c r="F10" s="4" t="n">
        <v>11</v>
      </c>
      <c r="G10" s="4" t="inlineStr">
        <is>
          <t>Kesim + Kaynak</t>
        </is>
      </c>
    </row>
    <row r="11">
      <c r="A11" s="5" t="n">
        <v>8</v>
      </c>
      <c r="B11" s="5" t="n">
        <v>1</v>
      </c>
      <c r="C11" s="5" t="inlineStr">
        <is>
          <t>⊏ 100×20 .........200</t>
        </is>
      </c>
      <c r="D11" s="5" t="inlineStr">
        <is>
          <t>S275J2</t>
        </is>
      </c>
      <c r="E11" s="5" t="n">
        <v>1.6</v>
      </c>
      <c r="F11" s="5" t="n">
        <v>1.6</v>
      </c>
      <c r="G11" s="5" t="inlineStr">
        <is>
          <t>Kesim + Kaynak</t>
        </is>
      </c>
    </row>
    <row r="12">
      <c r="A12" s="4" t="n">
        <v>9</v>
      </c>
      <c r="B12" s="4" t="n">
        <v>1</v>
      </c>
      <c r="C12" s="4" t="inlineStr">
        <is>
          <t>⊏ 100×20 .........200</t>
        </is>
      </c>
      <c r="D12" s="4" t="inlineStr">
        <is>
          <t>S275J2</t>
        </is>
      </c>
      <c r="E12" s="4" t="n">
        <v>1.6</v>
      </c>
      <c r="F12" s="4" t="n">
        <v>1.6</v>
      </c>
      <c r="G12" s="4" t="inlineStr">
        <is>
          <t>Kesim + Kaynak</t>
        </is>
      </c>
    </row>
    <row r="13">
      <c r="A13" s="5" t="n">
        <v>10</v>
      </c>
      <c r="B13" s="5" t="n">
        <v>1</v>
      </c>
      <c r="C13" s="5" t="inlineStr">
        <is>
          <t>⊏ ø70/ø42×30  HALKA</t>
        </is>
      </c>
      <c r="D13" s="5" t="inlineStr">
        <is>
          <t>S275J2</t>
        </is>
      </c>
      <c r="E13" s="5" t="n">
        <v>1</v>
      </c>
      <c r="F13" s="5" t="n">
        <v>1</v>
      </c>
      <c r="G13" s="5" t="inlineStr">
        <is>
          <t>Kesim + Kaynak</t>
        </is>
      </c>
    </row>
    <row r="14">
      <c r="A14" s="4" t="n">
        <v>11</v>
      </c>
      <c r="B14" s="4" t="n">
        <v>1</v>
      </c>
      <c r="C14" s="4" t="inlineStr">
        <is>
          <t>⊏ 60×25 .........70</t>
        </is>
      </c>
      <c r="D14" s="4" t="inlineStr">
        <is>
          <t>S275J2</t>
        </is>
      </c>
      <c r="E14" s="4" t="n">
        <v>1</v>
      </c>
      <c r="F14" s="4" t="n">
        <v>1</v>
      </c>
      <c r="G14" s="4" t="inlineStr">
        <is>
          <t>Kesim + Kaynak</t>
        </is>
      </c>
    </row>
    <row r="15">
      <c r="A15" s="5" t="n">
        <v>12</v>
      </c>
      <c r="B15" s="5" t="n">
        <v>1</v>
      </c>
      <c r="C15" s="5" t="inlineStr">
        <is>
          <t>⊏ 67×14 .........80</t>
        </is>
      </c>
      <c r="D15" s="5" t="inlineStr">
        <is>
          <t>S275J2</t>
        </is>
      </c>
      <c r="E15" s="5" t="n">
        <v>0.5</v>
      </c>
      <c r="F15" s="5" t="n">
        <v>0.5</v>
      </c>
      <c r="G15" s="5" t="inlineStr">
        <is>
          <t>Kesim + Kaynak</t>
        </is>
      </c>
    </row>
    <row r="16">
      <c r="A16" s="4" t="n">
        <v>13</v>
      </c>
      <c r="B16" s="4" t="n">
        <v>2</v>
      </c>
      <c r="C16" s="4" t="inlineStr">
        <is>
          <t>⊏ 50×14 .........56</t>
        </is>
      </c>
      <c r="D16" s="4" t="inlineStr">
        <is>
          <t>S275J2</t>
        </is>
      </c>
      <c r="E16" s="4" t="n">
        <v>0.5</v>
      </c>
      <c r="F16" s="4" t="n">
        <v>1</v>
      </c>
      <c r="G16" s="4" t="inlineStr">
        <is>
          <t>Kesim + Kaynak</t>
        </is>
      </c>
    </row>
    <row r="17">
      <c r="A17" s="5" t="n">
        <v>14</v>
      </c>
      <c r="B17" s="5" t="n">
        <v>1</v>
      </c>
      <c r="C17" s="5" t="inlineStr">
        <is>
          <t>⊏ 46×14 .........50</t>
        </is>
      </c>
      <c r="D17" s="5" t="inlineStr">
        <is>
          <t>S275J2</t>
        </is>
      </c>
      <c r="E17" s="5" t="n">
        <v>0.5</v>
      </c>
      <c r="F17" s="5" t="n">
        <v>0.5</v>
      </c>
      <c r="G17" s="5" t="inlineStr">
        <is>
          <t>Kesim + Kaynak</t>
        </is>
      </c>
    </row>
    <row r="18">
      <c r="A18" s="4" t="n">
        <v>15</v>
      </c>
      <c r="B18" s="4" t="n">
        <v>1</v>
      </c>
      <c r="C18" s="4" t="inlineStr">
        <is>
          <t>ø24×200  YUVARLAK BORU</t>
        </is>
      </c>
      <c r="D18" s="4" t="inlineStr">
        <is>
          <t>S235JR</t>
        </is>
      </c>
      <c r="E18" s="4" t="n">
        <v>1</v>
      </c>
      <c r="F18" s="4" t="n">
        <v>1</v>
      </c>
      <c r="G18" s="4" t="inlineStr">
        <is>
          <t>Kaynak</t>
        </is>
      </c>
    </row>
    <row r="19">
      <c r="A19" s="5" t="n">
        <v>16</v>
      </c>
      <c r="B19" s="5" t="n">
        <v>28</v>
      </c>
      <c r="C19" s="5" t="inlineStr">
        <is>
          <t>CİVATA M20×75</t>
        </is>
      </c>
      <c r="D19" s="5" t="inlineStr">
        <is>
          <t>DIN 601</t>
        </is>
      </c>
      <c r="E19" s="5" t="inlineStr">
        <is>
          <t>–</t>
        </is>
      </c>
      <c r="F19" s="5" t="inlineStr">
        <is>
          <t>–</t>
        </is>
      </c>
      <c r="G19" s="5" t="inlineStr">
        <is>
          <t>Montaj</t>
        </is>
      </c>
    </row>
    <row r="20">
      <c r="A20" s="4" t="n">
        <v>17</v>
      </c>
      <c r="B20" s="4" t="n">
        <v>1</v>
      </c>
      <c r="C20" s="4" t="inlineStr">
        <is>
          <t>CİVATA M20×110</t>
        </is>
      </c>
      <c r="D20" s="4" t="inlineStr">
        <is>
          <t>DIN 601</t>
        </is>
      </c>
      <c r="E20" s="4" t="inlineStr">
        <is>
          <t>–</t>
        </is>
      </c>
      <c r="F20" s="4" t="inlineStr">
        <is>
          <t>–</t>
        </is>
      </c>
      <c r="G20" s="4" t="inlineStr">
        <is>
          <t>Montaj</t>
        </is>
      </c>
    </row>
    <row r="21">
      <c r="A21" s="5" t="n">
        <v>18</v>
      </c>
      <c r="B21" s="5" t="n">
        <v>2</v>
      </c>
      <c r="C21" s="5" t="inlineStr">
        <is>
          <t>SOMUN M24</t>
        </is>
      </c>
      <c r="D21" s="5" t="inlineStr">
        <is>
          <t>DIN 555</t>
        </is>
      </c>
      <c r="E21" s="5" t="inlineStr">
        <is>
          <t>–</t>
        </is>
      </c>
      <c r="F21" s="5" t="inlineStr">
        <is>
          <t>–</t>
        </is>
      </c>
      <c r="G21" s="5" t="inlineStr">
        <is>
          <t>Montaj</t>
        </is>
      </c>
    </row>
    <row r="22">
      <c r="A22" s="4" t="n">
        <v>19</v>
      </c>
      <c r="B22" s="4" t="n">
        <v>58</v>
      </c>
      <c r="C22" s="4" t="inlineStr">
        <is>
          <t>SOMUN M20</t>
        </is>
      </c>
      <c r="D22" s="4" t="inlineStr">
        <is>
          <t>DIN 555</t>
        </is>
      </c>
      <c r="E22" s="4" t="inlineStr">
        <is>
          <t>–</t>
        </is>
      </c>
      <c r="F22" s="4" t="inlineStr">
        <is>
          <t>–</t>
        </is>
      </c>
      <c r="G22" s="4" t="inlineStr">
        <is>
          <t>Montaj</t>
        </is>
      </c>
    </row>
    <row r="23">
      <c r="A23" s="5" t="n">
        <v>20</v>
      </c>
      <c r="B23" s="5" t="n">
        <v>58</v>
      </c>
      <c r="C23" s="5" t="inlineStr">
        <is>
          <t>RONDELA D 22/37  S=3</t>
        </is>
      </c>
      <c r="D23" s="5" t="inlineStr">
        <is>
          <t>DIN 126 Gr.C</t>
        </is>
      </c>
      <c r="E23" s="5" t="inlineStr">
        <is>
          <t>–</t>
        </is>
      </c>
      <c r="F23" s="5" t="inlineStr">
        <is>
          <t>–</t>
        </is>
      </c>
      <c r="G23" s="5" t="inlineStr">
        <is>
          <t>Montaj</t>
        </is>
      </c>
    </row>
    <row r="24">
      <c r="A24" s="4" t="n">
        <v>21</v>
      </c>
      <c r="B24" s="4" t="n">
        <v>1</v>
      </c>
      <c r="C24" s="4" t="inlineStr">
        <is>
          <t>1/4" NPT TAPA</t>
        </is>
      </c>
      <c r="D24" s="4" t="inlineStr"/>
      <c r="E24" s="4" t="inlineStr">
        <is>
          <t>–</t>
        </is>
      </c>
      <c r="F24" s="4" t="inlineStr">
        <is>
          <t>–</t>
        </is>
      </c>
      <c r="G24" s="4" t="inlineStr">
        <is>
          <t>Montaj</t>
        </is>
      </c>
    </row>
    <row r="25">
      <c r="A25" s="6" t="inlineStr">
        <is>
          <t>TOPLAM AĞIRLIK: 180.0 Kg</t>
        </is>
      </c>
      <c r="F25" s="7" t="n">
        <v>180</v>
      </c>
      <c r="G25" s="7" t="inlineStr"/>
    </row>
    <row r="27">
      <c r="A27" s="2" t="inlineStr">
        <is>
          <t>24" TAVAN MANHOLU (M2)</t>
        </is>
      </c>
    </row>
    <row r="28" ht="30" customHeight="1">
      <c r="A28" s="3" t="inlineStr">
        <is>
          <t>POZ</t>
        </is>
      </c>
      <c r="B28" s="3" t="inlineStr">
        <is>
          <t>ADET</t>
        </is>
      </c>
      <c r="C28" s="3" t="inlineStr">
        <is>
          <t>AÇIKLAMA</t>
        </is>
      </c>
      <c r="D28" s="3" t="inlineStr">
        <is>
          <t>MALZEME</t>
        </is>
      </c>
      <c r="E28" s="3" t="inlineStr">
        <is>
          <t>BİRİM
AĞIRLIK (kg)</t>
        </is>
      </c>
      <c r="F28" s="3" t="inlineStr">
        <is>
          <t>TOPLAM
AĞIRLIK (kg)</t>
        </is>
      </c>
      <c r="G28" s="3" t="inlineStr">
        <is>
          <t>OP. TÜRÜ</t>
        </is>
      </c>
    </row>
    <row r="29">
      <c r="A29" s="4" t="n">
        <v>1</v>
      </c>
      <c r="B29" s="4" t="n">
        <v>1</v>
      </c>
      <c r="C29" s="4" t="inlineStr">
        <is>
          <t>⊏ 400×8 .........1910</t>
        </is>
      </c>
      <c r="D29" s="4" t="inlineStr">
        <is>
          <t>S275J2</t>
        </is>
      </c>
      <c r="E29" s="4" t="n">
        <v>48</v>
      </c>
      <c r="F29" s="4" t="n">
        <v>48</v>
      </c>
      <c r="G29" s="4" t="inlineStr">
        <is>
          <t>Kesim + Kaynak</t>
        </is>
      </c>
    </row>
    <row r="30">
      <c r="A30" s="5" t="n">
        <v>2</v>
      </c>
      <c r="B30" s="5" t="n">
        <v>1</v>
      </c>
      <c r="C30" s="5" t="inlineStr">
        <is>
          <t>⊏ ø750/ø616×8  HALKA</t>
        </is>
      </c>
      <c r="D30" s="5" t="inlineStr">
        <is>
          <t>S275J2</t>
        </is>
      </c>
      <c r="E30" s="5" t="n">
        <v>10</v>
      </c>
      <c r="F30" s="5" t="n">
        <v>10</v>
      </c>
      <c r="G30" s="5" t="inlineStr">
        <is>
          <t>Kesim + Kaynak</t>
        </is>
      </c>
    </row>
    <row r="31">
      <c r="A31" s="4" t="n">
        <v>3</v>
      </c>
      <c r="B31" s="4" t="n">
        <v>1</v>
      </c>
      <c r="C31" s="4" t="inlineStr">
        <is>
          <t>ø750×8  DAİRE PLAKA</t>
        </is>
      </c>
      <c r="D31" s="4" t="inlineStr">
        <is>
          <t>S275J2</t>
        </is>
      </c>
      <c r="E31" s="4" t="n">
        <v>28</v>
      </c>
      <c r="F31" s="4" t="n">
        <v>28</v>
      </c>
      <c r="G31" s="4" t="inlineStr">
        <is>
          <t>Kesim + Kaynak</t>
        </is>
      </c>
    </row>
    <row r="32">
      <c r="A32" s="5" t="n">
        <v>4</v>
      </c>
      <c r="B32" s="5" t="n">
        <v>1</v>
      </c>
      <c r="C32" s="5" t="inlineStr">
        <is>
          <t>⊏ ø1150/ø616×8  HALKA</t>
        </is>
      </c>
      <c r="D32" s="5" t="inlineStr">
        <is>
          <t>S275J2</t>
        </is>
      </c>
      <c r="E32" s="5" t="n">
        <v>46.5</v>
      </c>
      <c r="F32" s="5" t="n">
        <v>46.5</v>
      </c>
      <c r="G32" s="5" t="inlineStr">
        <is>
          <t>Kesim + Kaynak</t>
        </is>
      </c>
    </row>
    <row r="33">
      <c r="A33" s="4" t="n">
        <v>5</v>
      </c>
      <c r="B33" s="4" t="n">
        <v>1</v>
      </c>
      <c r="C33" s="4" t="inlineStr">
        <is>
          <t>ø750×ø616×1.5  GASKET</t>
        </is>
      </c>
      <c r="D33" s="4" t="inlineStr">
        <is>
          <t>KLİNGERİT</t>
        </is>
      </c>
      <c r="E33" s="4" t="inlineStr">
        <is>
          <t>–</t>
        </is>
      </c>
      <c r="F33" s="4" t="inlineStr">
        <is>
          <t>–</t>
        </is>
      </c>
      <c r="G33" s="4" t="inlineStr">
        <is>
          <t>Montaj</t>
        </is>
      </c>
    </row>
    <row r="34">
      <c r="A34" s="5" t="n">
        <v>6</v>
      </c>
      <c r="B34" s="5" t="n">
        <v>2</v>
      </c>
      <c r="C34" s="5" t="inlineStr">
        <is>
          <t>ø16×318  YUVARLAK BORU</t>
        </is>
      </c>
      <c r="D34" s="5" t="inlineStr">
        <is>
          <t>S235JR</t>
        </is>
      </c>
      <c r="E34" s="5" t="n">
        <v>1</v>
      </c>
      <c r="F34" s="5" t="n">
        <v>2</v>
      </c>
      <c r="G34" s="5" t="inlineStr">
        <is>
          <t>Kaynak</t>
        </is>
      </c>
    </row>
    <row r="35">
      <c r="A35" s="4" t="n">
        <v>7</v>
      </c>
      <c r="B35" s="4" t="n">
        <v>20</v>
      </c>
      <c r="C35" s="4" t="inlineStr">
        <is>
          <t>CİVATA M16×50</t>
        </is>
      </c>
      <c r="D35" s="4" t="inlineStr">
        <is>
          <t>DIN 601</t>
        </is>
      </c>
      <c r="E35" s="4" t="inlineStr">
        <is>
          <t>–</t>
        </is>
      </c>
      <c r="F35" s="4" t="inlineStr">
        <is>
          <t>–</t>
        </is>
      </c>
      <c r="G35" s="4" t="inlineStr">
        <is>
          <t>Montaj</t>
        </is>
      </c>
    </row>
    <row r="36">
      <c r="A36" s="5" t="n">
        <v>8</v>
      </c>
      <c r="B36" s="5" t="n">
        <v>20</v>
      </c>
      <c r="C36" s="5" t="inlineStr">
        <is>
          <t>SOMUN M16</t>
        </is>
      </c>
      <c r="D36" s="5" t="inlineStr">
        <is>
          <t>DIN 555</t>
        </is>
      </c>
      <c r="E36" s="5" t="inlineStr">
        <is>
          <t>–</t>
        </is>
      </c>
      <c r="F36" s="5" t="inlineStr">
        <is>
          <t>–</t>
        </is>
      </c>
      <c r="G36" s="5" t="inlineStr">
        <is>
          <t>Montaj</t>
        </is>
      </c>
    </row>
    <row r="37">
      <c r="A37" s="4" t="n">
        <v>9</v>
      </c>
      <c r="B37" s="4" t="n">
        <v>20</v>
      </c>
      <c r="C37" s="4" t="inlineStr">
        <is>
          <t>RONDELA D 17/30  S=3</t>
        </is>
      </c>
      <c r="D37" s="4" t="inlineStr">
        <is>
          <t>DIN 126 Gr.C</t>
        </is>
      </c>
      <c r="E37" s="4" t="inlineStr">
        <is>
          <t>–</t>
        </is>
      </c>
      <c r="F37" s="4" t="inlineStr">
        <is>
          <t>–</t>
        </is>
      </c>
      <c r="G37" s="4" t="inlineStr">
        <is>
          <t>Montaj</t>
        </is>
      </c>
    </row>
    <row r="38">
      <c r="A38" s="5" t="n">
        <v>10</v>
      </c>
      <c r="B38" s="5" t="n">
        <v>1</v>
      </c>
      <c r="C38" s="5" t="inlineStr">
        <is>
          <t>1/4" NPT TAPA</t>
        </is>
      </c>
      <c r="D38" s="5" t="inlineStr"/>
      <c r="E38" s="5" t="inlineStr">
        <is>
          <t>–</t>
        </is>
      </c>
      <c r="F38" s="5" t="inlineStr">
        <is>
          <t>–</t>
        </is>
      </c>
      <c r="G38" s="5" t="inlineStr">
        <is>
          <t>Montaj</t>
        </is>
      </c>
    </row>
    <row r="39">
      <c r="A39" s="6" t="inlineStr">
        <is>
          <t>TOPLAM AĞIRLIK: 132.5 Kg</t>
        </is>
      </c>
      <c r="F39" s="7" t="n">
        <v>132.5</v>
      </c>
      <c r="G39" s="7" t="inlineStr"/>
    </row>
  </sheetData>
  <mergeCells count="5">
    <mergeCell ref="A39:E39"/>
    <mergeCell ref="A1:G1"/>
    <mergeCell ref="A27:G27"/>
    <mergeCell ref="A25:E25"/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14" customWidth="1" min="4" max="4"/>
    <col width="12" customWidth="1" min="5" max="5"/>
    <col width="12" customWidth="1" min="6" max="6"/>
    <col width="12" customWidth="1" min="7" max="7"/>
    <col width="24" customWidth="1" min="8" max="8"/>
    <col width="20" customWidth="1" min="9" max="9"/>
  </cols>
  <sheetData>
    <row r="1" ht="22" customHeight="1">
      <c r="A1" s="1" t="inlineStr">
        <is>
          <t>7000 Bbl ÜRETİM TANKI — TAVAN PLAKALARI MALZEME LİSTESİ  (Çizim: 456-1200-12-MKD-208/209)</t>
        </is>
      </c>
    </row>
    <row r="2" ht="40" customHeight="1">
      <c r="A2" s="3" t="inlineStr">
        <is>
          <t>POZ</t>
        </is>
      </c>
      <c r="B2" s="3" t="inlineStr">
        <is>
          <t>ADET</t>
        </is>
      </c>
      <c r="C2" s="3" t="inlineStr">
        <is>
          <t>AÇIKLAMA  (En×Kalınlık ......... Boy) mm</t>
        </is>
      </c>
      <c r="D2" s="3" t="inlineStr">
        <is>
          <t>MALZEME</t>
        </is>
      </c>
      <c r="E2" s="3" t="inlineStr">
        <is>
          <t>BİRİM
AĞIRLIK
(Kg)</t>
        </is>
      </c>
      <c r="F2" s="3" t="inlineStr">
        <is>
          <t>TOPLAM
AĞIRLIK
(Kg)</t>
        </is>
      </c>
      <c r="G2" s="3" t="inlineStr">
        <is>
          <t>KALINLIKmm</t>
        </is>
      </c>
      <c r="H2" s="3" t="inlineStr">
        <is>
          <t>OP. TÜRÜ</t>
        </is>
      </c>
      <c r="I2" s="3" t="inlineStr">
        <is>
          <t>NOT</t>
        </is>
      </c>
    </row>
    <row r="3">
      <c r="A3" s="4" t="inlineStr">
        <is>
          <t>1</t>
        </is>
      </c>
      <c r="B3" s="4" t="n">
        <v>4</v>
      </c>
      <c r="C3" s="4" t="inlineStr">
        <is>
          <t>⊏ 1500×8 ......... 6000</t>
        </is>
      </c>
      <c r="D3" s="4" t="inlineStr">
        <is>
          <t>S275J2</t>
        </is>
      </c>
      <c r="E3" s="4" t="n">
        <v>565.2</v>
      </c>
      <c r="F3" s="4" t="n">
        <v>1695.6</v>
      </c>
      <c r="G3" s="4" t="n">
        <v>8</v>
      </c>
      <c r="H3" s="4" t="inlineStr">
        <is>
          <t>Kesim + Silindirik Bükme</t>
        </is>
      </c>
      <c r="I3" s="4" t="inlineStr">
        <is>
          <t>Konik tavan sacı</t>
        </is>
      </c>
    </row>
    <row r="4">
      <c r="A4" s="5" t="inlineStr">
        <is>
          <t>1A</t>
        </is>
      </c>
      <c r="B4" s="5" t="n">
        <v>1</v>
      </c>
      <c r="C4" s="5" t="inlineStr">
        <is>
          <t>⊏ 1500×8 ......... 6000</t>
        </is>
      </c>
      <c r="D4" s="5" t="inlineStr">
        <is>
          <t>S275J2</t>
        </is>
      </c>
      <c r="E4" s="5" t="n">
        <v>560</v>
      </c>
      <c r="F4" s="5" t="n">
        <v>560</v>
      </c>
      <c r="G4" s="5" t="n">
        <v>8</v>
      </c>
      <c r="H4" s="5" t="inlineStr">
        <is>
          <t>Kesim + Silindirik Bükme</t>
        </is>
      </c>
      <c r="I4" s="5" t="inlineStr">
        <is>
          <t>Konik tavan sacı</t>
        </is>
      </c>
    </row>
    <row r="5">
      <c r="A5" s="4" t="inlineStr">
        <is>
          <t>1B</t>
        </is>
      </c>
      <c r="B5" s="4" t="n">
        <v>1</v>
      </c>
      <c r="C5" s="4" t="inlineStr">
        <is>
          <t>⊏ 1500×8 ......... 6000</t>
        </is>
      </c>
      <c r="D5" s="4" t="inlineStr">
        <is>
          <t>S275J2</t>
        </is>
      </c>
      <c r="E5" s="4" t="n">
        <v>560</v>
      </c>
      <c r="F5" s="4" t="n">
        <v>560</v>
      </c>
      <c r="G5" s="4" t="n">
        <v>8</v>
      </c>
      <c r="H5" s="4" t="inlineStr">
        <is>
          <t>Kesim + Silindirik Bükme</t>
        </is>
      </c>
      <c r="I5" s="4" t="inlineStr">
        <is>
          <t>Konik tavan sacı</t>
        </is>
      </c>
    </row>
    <row r="6">
      <c r="A6" s="5" t="inlineStr">
        <is>
          <t>1C</t>
        </is>
      </c>
      <c r="B6" s="5" t="n">
        <v>1</v>
      </c>
      <c r="C6" s="5" t="inlineStr">
        <is>
          <t>⊏ 1500×8 ......... 6000</t>
        </is>
      </c>
      <c r="D6" s="5" t="inlineStr">
        <is>
          <t>S275J2</t>
        </is>
      </c>
      <c r="E6" s="5" t="n">
        <v>560</v>
      </c>
      <c r="F6" s="5" t="n">
        <v>560</v>
      </c>
      <c r="G6" s="5" t="n">
        <v>8</v>
      </c>
      <c r="H6" s="5" t="inlineStr">
        <is>
          <t>Kesim + Silindirik Bükme</t>
        </is>
      </c>
      <c r="I6" s="5" t="inlineStr">
        <is>
          <t>Konik tavan sacı</t>
        </is>
      </c>
    </row>
    <row r="7">
      <c r="A7" s="4" t="inlineStr">
        <is>
          <t>2</t>
        </is>
      </c>
      <c r="B7" s="4" t="n">
        <v>2</v>
      </c>
      <c r="C7" s="4" t="inlineStr">
        <is>
          <t>⊏ 1500×8 ......... 3560.5</t>
        </is>
      </c>
      <c r="D7" s="4" t="inlineStr">
        <is>
          <t>S275J2</t>
        </is>
      </c>
      <c r="E7" s="4" t="n">
        <v>334</v>
      </c>
      <c r="F7" s="4" t="n">
        <v>668</v>
      </c>
      <c r="G7" s="4" t="n">
        <v>8</v>
      </c>
      <c r="H7" s="4" t="inlineStr">
        <is>
          <t>Kesim + Silindirik Bükme</t>
        </is>
      </c>
      <c r="I7" s="4" t="inlineStr">
        <is>
          <t>Konik tavan sacı</t>
        </is>
      </c>
    </row>
    <row r="8">
      <c r="A8" s="5" t="inlineStr">
        <is>
          <t>3</t>
        </is>
      </c>
      <c r="B8" s="5" t="n">
        <v>4</v>
      </c>
      <c r="C8" s="5" t="inlineStr">
        <is>
          <t>⊏ 1500×8 ......... 548</t>
        </is>
      </c>
      <c r="D8" s="5" t="inlineStr">
        <is>
          <t>S275J2</t>
        </is>
      </c>
      <c r="E8" s="5" t="n">
        <v>38.3</v>
      </c>
      <c r="F8" s="5" t="n">
        <v>153.2</v>
      </c>
      <c r="G8" s="5" t="n">
        <v>8</v>
      </c>
      <c r="H8" s="5" t="inlineStr">
        <is>
          <t>Kesim + Silindirik Bükme</t>
        </is>
      </c>
      <c r="I8" s="5" t="inlineStr">
        <is>
          <t>Konik tavan sacı</t>
        </is>
      </c>
    </row>
    <row r="9">
      <c r="A9" s="4" t="inlineStr">
        <is>
          <t>4</t>
        </is>
      </c>
      <c r="B9" s="4" t="n">
        <v>4</v>
      </c>
      <c r="C9" s="4" t="inlineStr">
        <is>
          <t>⊏ 1500×8 ......... 3195.5</t>
        </is>
      </c>
      <c r="D9" s="4" t="inlineStr">
        <is>
          <t>S275J2</t>
        </is>
      </c>
      <c r="E9" s="4" t="n">
        <v>269.3</v>
      </c>
      <c r="F9" s="4" t="n">
        <v>1077.2</v>
      </c>
      <c r="G9" s="4" t="n">
        <v>8</v>
      </c>
      <c r="H9" s="4" t="inlineStr">
        <is>
          <t>Kesim + Silindirik Bükme</t>
        </is>
      </c>
      <c r="I9" s="4" t="inlineStr">
        <is>
          <t>Konik tavan sacı</t>
        </is>
      </c>
    </row>
    <row r="10">
      <c r="A10" s="5" t="inlineStr">
        <is>
          <t>5</t>
        </is>
      </c>
      <c r="B10" s="5" t="n">
        <v>2</v>
      </c>
      <c r="C10" s="5" t="inlineStr">
        <is>
          <t>⊏ 1500×8 ......... 2873</t>
        </is>
      </c>
      <c r="D10" s="5" t="inlineStr">
        <is>
          <t>S275J2</t>
        </is>
      </c>
      <c r="E10" s="5" t="n">
        <v>257.3</v>
      </c>
      <c r="F10" s="5" t="n">
        <v>514.6</v>
      </c>
      <c r="G10" s="5" t="n">
        <v>8</v>
      </c>
      <c r="H10" s="5" t="inlineStr">
        <is>
          <t>Kesim + Silindirik Bükme</t>
        </is>
      </c>
      <c r="I10" s="5" t="inlineStr">
        <is>
          <t>Konik tavan sacı</t>
        </is>
      </c>
    </row>
    <row r="11">
      <c r="A11" s="4" t="inlineStr">
        <is>
          <t>5A</t>
        </is>
      </c>
      <c r="B11" s="4" t="n">
        <v>1</v>
      </c>
      <c r="C11" s="4" t="inlineStr">
        <is>
          <t>⊏ 1500×8 ......... 2873</t>
        </is>
      </c>
      <c r="D11" s="4" t="inlineStr">
        <is>
          <t>S275J2</t>
        </is>
      </c>
      <c r="E11" s="4" t="n">
        <v>254.5</v>
      </c>
      <c r="F11" s="4" t="n">
        <v>254.5</v>
      </c>
      <c r="G11" s="4" t="n">
        <v>8</v>
      </c>
      <c r="H11" s="4" t="inlineStr">
        <is>
          <t>Kesim + Silindirik Bükme</t>
        </is>
      </c>
      <c r="I11" s="4" t="inlineStr">
        <is>
          <t>Konik tavan sacı</t>
        </is>
      </c>
    </row>
    <row r="12">
      <c r="A12" s="5" t="inlineStr">
        <is>
          <t>5B</t>
        </is>
      </c>
      <c r="B12" s="5" t="n">
        <v>1</v>
      </c>
      <c r="C12" s="5" t="inlineStr">
        <is>
          <t>⊏ 1500×8 ......... 2873</t>
        </is>
      </c>
      <c r="D12" s="5" t="inlineStr">
        <is>
          <t>S275J2</t>
        </is>
      </c>
      <c r="E12" s="5" t="n">
        <v>254.5</v>
      </c>
      <c r="F12" s="5" t="n">
        <v>254.5</v>
      </c>
      <c r="G12" s="5" t="n">
        <v>8</v>
      </c>
      <c r="H12" s="5" t="inlineStr">
        <is>
          <t>Kesim + Silindirik Bükme</t>
        </is>
      </c>
      <c r="I12" s="5" t="inlineStr">
        <is>
          <t>Konik tavan sacı</t>
        </is>
      </c>
    </row>
    <row r="13">
      <c r="A13" s="4" t="inlineStr">
        <is>
          <t>6</t>
        </is>
      </c>
      <c r="B13" s="4" t="n">
        <v>3</v>
      </c>
      <c r="C13" s="4" t="inlineStr">
        <is>
          <t>⊏ 1500×8 ......... 2545.5</t>
        </is>
      </c>
      <c r="D13" s="4" t="inlineStr">
        <is>
          <t>S275J2</t>
        </is>
      </c>
      <c r="E13" s="4" t="n">
        <v>208</v>
      </c>
      <c r="F13" s="4" t="n">
        <v>624</v>
      </c>
      <c r="G13" s="4" t="n">
        <v>8</v>
      </c>
      <c r="H13" s="4" t="inlineStr">
        <is>
          <t>Kesim + Silindirik Bükme</t>
        </is>
      </c>
      <c r="I13" s="4" t="inlineStr">
        <is>
          <t>Konik tavan sacı</t>
        </is>
      </c>
    </row>
    <row r="14">
      <c r="A14" s="5" t="inlineStr">
        <is>
          <t>6A</t>
        </is>
      </c>
      <c r="B14" s="5" t="n">
        <v>1</v>
      </c>
      <c r="C14" s="5" t="inlineStr">
        <is>
          <t>⊏ 1500×8 ......... 2545.5</t>
        </is>
      </c>
      <c r="D14" s="5" t="inlineStr">
        <is>
          <t>S275J2</t>
        </is>
      </c>
      <c r="E14" s="5" t="n">
        <v>190</v>
      </c>
      <c r="F14" s="5" t="n">
        <v>190</v>
      </c>
      <c r="G14" s="5" t="n">
        <v>8</v>
      </c>
      <c r="H14" s="5" t="inlineStr">
        <is>
          <t>Kesim + Silindirik Bükme</t>
        </is>
      </c>
      <c r="I14" s="5" t="inlineStr">
        <is>
          <t>Konik tavan sacı</t>
        </is>
      </c>
    </row>
    <row r="15">
      <c r="A15" s="4" t="inlineStr">
        <is>
          <t>7</t>
        </is>
      </c>
      <c r="B15" s="4" t="n">
        <v>4</v>
      </c>
      <c r="C15" s="4" t="inlineStr">
        <is>
          <t>⊏ 1000×8 ......... 1824.5</t>
        </is>
      </c>
      <c r="D15" s="4" t="inlineStr">
        <is>
          <t>S275J2</t>
        </is>
      </c>
      <c r="E15" s="4" t="n">
        <v>90.7</v>
      </c>
      <c r="F15" s="4" t="n">
        <v>362.8</v>
      </c>
      <c r="G15" s="4" t="n">
        <v>8</v>
      </c>
      <c r="H15" s="4" t="inlineStr">
        <is>
          <t>Kesim + Silindirik Bükme</t>
        </is>
      </c>
      <c r="I15" s="4" t="inlineStr">
        <is>
          <t>Konik tavan sacı</t>
        </is>
      </c>
    </row>
    <row r="16">
      <c r="A16" s="5" t="inlineStr">
        <is>
          <t>8</t>
        </is>
      </c>
      <c r="B16" s="5" t="n">
        <v>4</v>
      </c>
      <c r="C16" s="5" t="inlineStr">
        <is>
          <t>⊏ 1056.5×8 ...... 874.5</t>
        </is>
      </c>
      <c r="D16" s="5" t="inlineStr">
        <is>
          <t>S275J2</t>
        </is>
      </c>
      <c r="E16" s="5" t="n">
        <v>31</v>
      </c>
      <c r="F16" s="5" t="n">
        <v>124</v>
      </c>
      <c r="G16" s="5" t="n">
        <v>8</v>
      </c>
      <c r="H16" s="5" t="inlineStr">
        <is>
          <t>Kesim + Silindirik Bükme</t>
        </is>
      </c>
      <c r="I16" s="5" t="inlineStr">
        <is>
          <t>Konik tavan sacı</t>
        </is>
      </c>
    </row>
    <row r="17">
      <c r="A17" s="4" t="inlineStr">
        <is>
          <t>9</t>
        </is>
      </c>
      <c r="B17" s="4" t="n">
        <v>2</v>
      </c>
      <c r="C17" s="4" t="inlineStr">
        <is>
          <t>⊏ 1500×8 ......... 2910.5</t>
        </is>
      </c>
      <c r="D17" s="4" t="inlineStr">
        <is>
          <t>S275J2</t>
        </is>
      </c>
      <c r="E17" s="4" t="n">
        <v>272.8</v>
      </c>
      <c r="F17" s="4" t="n">
        <v>545.6</v>
      </c>
      <c r="G17" s="4" t="n">
        <v>8</v>
      </c>
      <c r="H17" s="4" t="inlineStr">
        <is>
          <t>Kesim + Silindirik Bükme</t>
        </is>
      </c>
      <c r="I17" s="4" t="inlineStr">
        <is>
          <t>Konik tavan sacı</t>
        </is>
      </c>
    </row>
    <row r="18">
      <c r="A18" s="6" t="inlineStr">
        <is>
          <t>TOPLAM AĞIRLIK:</t>
        </is>
      </c>
      <c r="F18" s="7" t="n">
        <v>8147</v>
      </c>
      <c r="G18" s="7" t="inlineStr"/>
      <c r="H18" s="7" t="inlineStr"/>
      <c r="I18" s="7" t="inlineStr"/>
    </row>
    <row r="20">
      <c r="A20" s="2" t="inlineStr">
        <is>
          <t>GENEL NOTLAR (Tavan Plakaları)</t>
        </is>
      </c>
    </row>
    <row r="21">
      <c r="A21" s="8" t="inlineStr">
        <is>
          <t>1- Tüm ölçüler 'mm', kotlar 'm' birimindedir.</t>
        </is>
      </c>
    </row>
    <row r="22">
      <c r="A22" s="8" t="inlineStr">
        <is>
          <t>2- İmalat toleransları API 650, Bölüm 7.5'e uygun olacaktır.</t>
        </is>
      </c>
    </row>
    <row r="23">
      <c r="A23" s="8" t="inlineStr">
        <is>
          <t>3- Resimde verilen ölçüler büküm öncesi (açılmış plaka) ölçüleridir.</t>
        </is>
      </c>
    </row>
    <row r="24">
      <c r="A24" s="8" t="inlineStr">
        <is>
          <t>4- Kaynak ağzı açıları için tolerans ±5° dir.</t>
        </is>
      </c>
    </row>
    <row r="25">
      <c r="A25" s="8" t="inlineStr">
        <is>
          <t>5- Kesim plaka uzunlukları ilgili olduğu konum sac kalınlığının ortasına göre hesaplanmıştır.</t>
        </is>
      </c>
    </row>
    <row r="26">
      <c r="A26" s="8" t="inlineStr">
        <is>
          <t>6- Tavan plakası birleşimleri kaynak detayına göre yapılacaktır.</t>
        </is>
      </c>
    </row>
    <row r="27">
      <c r="A27" s="8" t="inlineStr">
        <is>
          <t>7- Tank iç ve dış yüzeyinin boyanmasından önce tüm kaynak çapakalrı temizlenecektir.</t>
        </is>
      </c>
    </row>
  </sheetData>
  <mergeCells count="10">
    <mergeCell ref="A26:I26"/>
    <mergeCell ref="A25:I25"/>
    <mergeCell ref="A18:E18"/>
    <mergeCell ref="A1:I1"/>
    <mergeCell ref="A23:I23"/>
    <mergeCell ref="A27:I27"/>
    <mergeCell ref="A24:I24"/>
    <mergeCell ref="A22:I22"/>
    <mergeCell ref="A20:I20"/>
    <mergeCell ref="A21:I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16" customWidth="1" min="4" max="4"/>
    <col width="22" customWidth="1" min="5" max="5"/>
    <col width="22" customWidth="1" min="6" max="6"/>
    <col width="20" customWidth="1" min="7" max="7"/>
  </cols>
  <sheetData>
    <row r="1" ht="22" customHeight="1">
      <c r="A1" s="1" t="inlineStr">
        <is>
          <t>TABAN ve GÖVDE PLAKALARI — Detay veriler bekleniyor</t>
        </is>
      </c>
    </row>
    <row r="2">
      <c r="A2" s="3" t="inlineStr">
        <is>
          <t>POZ</t>
        </is>
      </c>
      <c r="B2" s="3" t="inlineStr">
        <is>
          <t>ADET</t>
        </is>
      </c>
      <c r="C2" s="3" t="inlineStr">
        <is>
          <t>AÇIKLAMA</t>
        </is>
      </c>
      <c r="D2" s="3" t="inlineStr">
        <is>
          <t>MALZEME</t>
        </is>
      </c>
      <c r="E2" s="3" t="inlineStr">
        <is>
          <t>BİRİM AĞIRLIK (Kg)</t>
        </is>
      </c>
      <c r="F2" s="3" t="inlineStr">
        <is>
          <t>TOPLAM AĞIRLIK (Kg)</t>
        </is>
      </c>
      <c r="G2" s="3" t="inlineStr">
        <is>
          <t>OP. TÜRÜ</t>
        </is>
      </c>
    </row>
    <row r="3">
      <c r="A3" s="2" t="inlineStr">
        <is>
          <t>TABAN PLAKASI  (Çizim: KEY199MECEQP2003)</t>
        </is>
      </c>
    </row>
    <row r="4">
      <c r="A4" s="9" t="inlineStr">
        <is>
          <t>TOPLAM AĞIRLIK (detay tablo bekleniyor):</t>
        </is>
      </c>
      <c r="F4" s="10" t="n">
        <v>11176.7</v>
      </c>
      <c r="G4" s="10" t="inlineStr">
        <is>
          <t>Detay eklenecek</t>
        </is>
      </c>
    </row>
    <row r="5">
      <c r="A5" s="2" t="inlineStr">
        <is>
          <t>DRENAJ ÇUKURU  (Taban dahili)</t>
        </is>
      </c>
    </row>
    <row r="6">
      <c r="A6" s="9" t="inlineStr">
        <is>
          <t>TOPLAM AĞIRLIK (detay tablo bekleniyor):</t>
        </is>
      </c>
      <c r="F6" s="10" t="n">
        <v>76.09999999999999</v>
      </c>
      <c r="G6" s="10" t="inlineStr">
        <is>
          <t>Detay eklenecek</t>
        </is>
      </c>
    </row>
    <row r="7">
      <c r="A7" s="2" t="inlineStr">
        <is>
          <t>GÖVDE PLAKALARI  (Çizim: KEY199MECEQP2001)</t>
        </is>
      </c>
    </row>
    <row r="8">
      <c r="A8" s="9" t="inlineStr">
        <is>
          <t>TOPLAM AĞIRLIK (detay tablo bekleniyor):</t>
        </is>
      </c>
      <c r="F8" s="10" t="n">
        <v>16513</v>
      </c>
      <c r="G8" s="10" t="inlineStr">
        <is>
          <t>Detay eklenecek</t>
        </is>
      </c>
    </row>
    <row r="9">
      <c r="A9" s="2" t="inlineStr">
        <is>
          <t>ANKRAJ DETAYI</t>
        </is>
      </c>
    </row>
    <row r="10">
      <c r="A10" s="9" t="inlineStr">
        <is>
          <t>TOPLAM AĞIRLIK (detay tablo bekleniyor):</t>
        </is>
      </c>
      <c r="F10" s="10" t="n">
        <v>13.5</v>
      </c>
      <c r="G10" s="10" t="inlineStr">
        <is>
          <t>Detay eklenecek</t>
        </is>
      </c>
    </row>
    <row r="11">
      <c r="A11" s="2" t="inlineStr">
        <is>
          <t>İSİM PLAKASI</t>
        </is>
      </c>
    </row>
    <row r="12">
      <c r="A12" s="9" t="inlineStr">
        <is>
          <t>TOPLAM AĞIRLIK (detay tablo bekleniyor):</t>
        </is>
      </c>
      <c r="F12" s="10" t="n">
        <v>5.18</v>
      </c>
      <c r="G12" s="10" t="inlineStr">
        <is>
          <t>Detay eklenecek</t>
        </is>
      </c>
    </row>
  </sheetData>
  <mergeCells count="11">
    <mergeCell ref="A12:E12"/>
    <mergeCell ref="A4:E4"/>
    <mergeCell ref="A1:G1"/>
    <mergeCell ref="A9:G9"/>
    <mergeCell ref="A3:G3"/>
    <mergeCell ref="A10:E10"/>
    <mergeCell ref="A7:G7"/>
    <mergeCell ref="A8:E8"/>
    <mergeCell ref="A6:E6"/>
    <mergeCell ref="A11:G11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14" customWidth="1" min="4" max="4"/>
    <col width="10" customWidth="1" min="5" max="5"/>
    <col width="14" customWidth="1" min="6" max="6"/>
    <col width="14" customWidth="1" min="7" max="7"/>
    <col width="20" customWidth="1" min="8" max="8"/>
  </cols>
  <sheetData>
    <row r="1" ht="22" customHeight="1">
      <c r="A1" s="1" t="inlineStr">
        <is>
          <t>KONİK ÇATI YAPISAL İSKELET MALZEME LİSTESİ  (Çizim: 456-1200-12-MKG-207)</t>
        </is>
      </c>
    </row>
    <row r="2">
      <c r="A2" s="2" t="inlineStr">
        <is>
          <t>CK1 MONTAJ GRUBU  (12 Adet)  — Rafter UNP240</t>
        </is>
      </c>
    </row>
    <row r="3" ht="35" customHeight="1">
      <c r="A3" s="3" t="inlineStr">
        <is>
          <t>POZ</t>
        </is>
      </c>
      <c r="B3" s="3" t="inlineStr">
        <is>
          <t>ADET
(1 grp)</t>
        </is>
      </c>
      <c r="C3" s="3" t="inlineStr">
        <is>
          <t>AÇIKLAMA</t>
        </is>
      </c>
      <c r="D3" s="3" t="inlineStr">
        <is>
          <t>MALZEME</t>
        </is>
      </c>
      <c r="E3" s="3" t="inlineStr">
        <is>
          <t>BOY
(mm)</t>
        </is>
      </c>
      <c r="F3" s="3" t="inlineStr">
        <is>
          <t>BİRİM
AĞIRLIK(kg)</t>
        </is>
      </c>
      <c r="G3" s="3" t="inlineStr">
        <is>
          <t>TOPLAM
(×12 grp) kg</t>
        </is>
      </c>
      <c r="H3" s="3" t="inlineStr">
        <is>
          <t>OP. TÜRÜ</t>
        </is>
      </c>
    </row>
    <row r="4">
      <c r="A4" s="4" t="inlineStr">
        <is>
          <t>P1</t>
        </is>
      </c>
      <c r="B4" s="4" t="n">
        <v>1</v>
      </c>
      <c r="C4" s="4" t="inlineStr">
        <is>
          <t>UNP240</t>
        </is>
      </c>
      <c r="D4" s="4" t="inlineStr">
        <is>
          <t>S235JR</t>
        </is>
      </c>
      <c r="E4" s="4" t="n">
        <v>5685</v>
      </c>
      <c r="F4" s="4" t="n">
        <v>188.8</v>
      </c>
      <c r="G4" s="4" t="n">
        <v>2265.6</v>
      </c>
      <c r="H4" s="4" t="inlineStr">
        <is>
          <t>Kesim+Kaynak</t>
        </is>
      </c>
    </row>
    <row r="5">
      <c r="A5" s="5" t="inlineStr">
        <is>
          <t>P20</t>
        </is>
      </c>
      <c r="B5" s="5" t="n">
        <v>2</v>
      </c>
      <c r="C5" s="5" t="inlineStr">
        <is>
          <t>PL10×113  PLAKA</t>
        </is>
      </c>
      <c r="D5" s="5" t="inlineStr">
        <is>
          <t>S235JR</t>
        </is>
      </c>
      <c r="E5" s="5" t="n">
        <v>221</v>
      </c>
      <c r="F5" s="5" t="n">
        <v>1.8</v>
      </c>
      <c r="G5" s="5" t="n">
        <v>43.2</v>
      </c>
      <c r="H5" s="5" t="inlineStr">
        <is>
          <t>Kesim+Kaynak</t>
        </is>
      </c>
    </row>
    <row r="6">
      <c r="A6" s="4" t="inlineStr">
        <is>
          <t>P21</t>
        </is>
      </c>
      <c r="B6" s="4" t="n">
        <v>2</v>
      </c>
      <c r="C6" s="4" t="inlineStr">
        <is>
          <t>PL10×98   PLAKA</t>
        </is>
      </c>
      <c r="D6" s="4" t="inlineStr">
        <is>
          <t>S235JR</t>
        </is>
      </c>
      <c r="E6" s="4" t="n">
        <v>182</v>
      </c>
      <c r="F6" s="4" t="n">
        <v>1.4</v>
      </c>
      <c r="G6" s="4" t="n">
        <v>33.6</v>
      </c>
      <c r="H6" s="4" t="inlineStr">
        <is>
          <t>Kesim+Kaynak</t>
        </is>
      </c>
    </row>
    <row r="7">
      <c r="A7" s="5" t="inlineStr">
        <is>
          <t>P22</t>
        </is>
      </c>
      <c r="B7" s="5" t="n">
        <v>1</v>
      </c>
      <c r="C7" s="5" t="inlineStr">
        <is>
          <t>PL10×221  PLAKA</t>
        </is>
      </c>
      <c r="D7" s="5" t="inlineStr">
        <is>
          <t>S235JR</t>
        </is>
      </c>
      <c r="E7" s="5" t="n">
        <v>193</v>
      </c>
      <c r="F7" s="5" t="n">
        <v>2.7</v>
      </c>
      <c r="G7" s="5" t="n">
        <v>32.4</v>
      </c>
      <c r="H7" s="5" t="inlineStr">
        <is>
          <t>Kesim+Kaynak</t>
        </is>
      </c>
    </row>
    <row r="8">
      <c r="A8" s="4" t="inlineStr">
        <is>
          <t>P23</t>
        </is>
      </c>
      <c r="B8" s="4" t="n">
        <v>1</v>
      </c>
      <c r="C8" s="4" t="inlineStr">
        <is>
          <t>PL10×162  PLAKA</t>
        </is>
      </c>
      <c r="D8" s="4" t="inlineStr">
        <is>
          <t>S235JR</t>
        </is>
      </c>
      <c r="E8" s="4" t="n">
        <v>216</v>
      </c>
      <c r="F8" s="4" t="n">
        <v>1.9</v>
      </c>
      <c r="G8" s="4" t="n">
        <v>22.8</v>
      </c>
      <c r="H8" s="4" t="inlineStr">
        <is>
          <t>Kesim+Kaynak</t>
        </is>
      </c>
    </row>
    <row r="9">
      <c r="A9" s="11" t="inlineStr">
        <is>
          <t>CK1 TOPLAM (12 grup × 1 adet/grup):</t>
        </is>
      </c>
      <c r="G9" s="3" t="n">
        <v>2397.6</v>
      </c>
    </row>
    <row r="11">
      <c r="A11" s="2" t="inlineStr">
        <is>
          <t>CK2 MONTAJ GRUBU  (12 Adet)  — Rafter UNP240</t>
        </is>
      </c>
    </row>
    <row r="12" ht="35" customHeight="1">
      <c r="A12" s="3" t="inlineStr">
        <is>
          <t>POZ</t>
        </is>
      </c>
      <c r="B12" s="3" t="inlineStr">
        <is>
          <t>ADET
(1 grp)</t>
        </is>
      </c>
      <c r="C12" s="3" t="inlineStr">
        <is>
          <t>AÇIKLAMA</t>
        </is>
      </c>
      <c r="D12" s="3" t="inlineStr">
        <is>
          <t>MALZEME</t>
        </is>
      </c>
      <c r="E12" s="3" t="inlineStr">
        <is>
          <t>BOY
(mm)</t>
        </is>
      </c>
      <c r="F12" s="3" t="inlineStr">
        <is>
          <t>BİRİM
AĞIRLIK(kg)</t>
        </is>
      </c>
      <c r="G12" s="3" t="inlineStr">
        <is>
          <t>TOPLAM
(×12 grp) kg</t>
        </is>
      </c>
      <c r="H12" s="3" t="inlineStr">
        <is>
          <t>OP. TÜRÜ</t>
        </is>
      </c>
    </row>
    <row r="13">
      <c r="A13" s="4" t="inlineStr">
        <is>
          <t>P1</t>
        </is>
      </c>
      <c r="B13" s="4" t="n">
        <v>1</v>
      </c>
      <c r="C13" s="4" t="inlineStr">
        <is>
          <t>UNP240</t>
        </is>
      </c>
      <c r="D13" s="4" t="inlineStr">
        <is>
          <t>S235JR</t>
        </is>
      </c>
      <c r="E13" s="4" t="n">
        <v>5685</v>
      </c>
      <c r="F13" s="4" t="n">
        <v>188.8</v>
      </c>
      <c r="G13" s="4" t="n">
        <v>2265.6</v>
      </c>
      <c r="H13" s="4" t="inlineStr">
        <is>
          <t>Kesim+Kaynak</t>
        </is>
      </c>
    </row>
    <row r="14">
      <c r="A14" s="5" t="inlineStr">
        <is>
          <t>P20</t>
        </is>
      </c>
      <c r="B14" s="5" t="n">
        <v>2</v>
      </c>
      <c r="C14" s="5" t="inlineStr">
        <is>
          <t>PL10×113  PLAKA</t>
        </is>
      </c>
      <c r="D14" s="5" t="inlineStr">
        <is>
          <t>S235JR</t>
        </is>
      </c>
      <c r="E14" s="5" t="n">
        <v>221</v>
      </c>
      <c r="F14" s="5" t="n">
        <v>1.8</v>
      </c>
      <c r="G14" s="5" t="n">
        <v>43.2</v>
      </c>
      <c r="H14" s="5" t="inlineStr">
        <is>
          <t>Kesim+Kaynak</t>
        </is>
      </c>
    </row>
    <row r="15">
      <c r="A15" s="4" t="inlineStr">
        <is>
          <t>P21</t>
        </is>
      </c>
      <c r="B15" s="4" t="n">
        <v>2</v>
      </c>
      <c r="C15" s="4" t="inlineStr">
        <is>
          <t>PL10×98   PLAKA</t>
        </is>
      </c>
      <c r="D15" s="4" t="inlineStr">
        <is>
          <t>S235JR</t>
        </is>
      </c>
      <c r="E15" s="4" t="n">
        <v>182</v>
      </c>
      <c r="F15" s="4" t="n">
        <v>1.4</v>
      </c>
      <c r="G15" s="4" t="n">
        <v>33.6</v>
      </c>
      <c r="H15" s="4" t="inlineStr">
        <is>
          <t>Kesim+Kaynak</t>
        </is>
      </c>
    </row>
    <row r="16">
      <c r="A16" s="5" t="inlineStr">
        <is>
          <t>P24</t>
        </is>
      </c>
      <c r="B16" s="5" t="n">
        <v>1</v>
      </c>
      <c r="C16" s="5" t="inlineStr">
        <is>
          <t>PL10×189  PLAKA</t>
        </is>
      </c>
      <c r="D16" s="5" t="inlineStr">
        <is>
          <t>S235JR</t>
        </is>
      </c>
      <c r="E16" s="5" t="n">
        <v>232</v>
      </c>
      <c r="F16" s="5" t="n">
        <v>2.8</v>
      </c>
      <c r="G16" s="5" t="n">
        <v>33.6</v>
      </c>
      <c r="H16" s="5" t="inlineStr">
        <is>
          <t>Kesim+Kaynak</t>
        </is>
      </c>
    </row>
    <row r="17">
      <c r="A17" s="4" t="inlineStr">
        <is>
          <t>P25</t>
        </is>
      </c>
      <c r="B17" s="4" t="n">
        <v>1</v>
      </c>
      <c r="C17" s="4" t="inlineStr">
        <is>
          <t>PL10×139  PLAKA</t>
        </is>
      </c>
      <c r="D17" s="4" t="inlineStr">
        <is>
          <t>S235JR</t>
        </is>
      </c>
      <c r="E17" s="4" t="n">
        <v>244</v>
      </c>
      <c r="F17" s="4" t="n">
        <v>2</v>
      </c>
      <c r="G17" s="4" t="n">
        <v>24</v>
      </c>
      <c r="H17" s="4" t="inlineStr">
        <is>
          <t>Kesim+Kaynak</t>
        </is>
      </c>
    </row>
    <row r="18">
      <c r="A18" s="11" t="inlineStr">
        <is>
          <t>CK2 TOPLAM (12 grup × 1 adet/grup):</t>
        </is>
      </c>
      <c r="G18" s="3" t="n">
        <v>2400</v>
      </c>
    </row>
    <row r="20">
      <c r="A20" s="2" t="inlineStr">
        <is>
          <t>KL1 MONTAJ GRUBU  (1 Adet)  — Merkezi Kolon PIP 323.9×8</t>
        </is>
      </c>
    </row>
    <row r="21" ht="35" customHeight="1">
      <c r="A21" s="3" t="inlineStr">
        <is>
          <t>POZ</t>
        </is>
      </c>
      <c r="B21" s="3" t="inlineStr">
        <is>
          <t>ADET</t>
        </is>
      </c>
      <c r="C21" s="3" t="inlineStr">
        <is>
          <t>AÇIKLAMA</t>
        </is>
      </c>
      <c r="D21" s="3" t="inlineStr">
        <is>
          <t>MALZEME</t>
        </is>
      </c>
      <c r="E21" s="3" t="inlineStr">
        <is>
          <t>BOY
(mm)</t>
        </is>
      </c>
      <c r="F21" s="3" t="inlineStr">
        <is>
          <t>BİRİM
AĞIRLIK(kg)</t>
        </is>
      </c>
      <c r="G21" s="3" t="inlineStr">
        <is>
          <t>TOPLAM
AĞIRLIK(kg)</t>
        </is>
      </c>
      <c r="H21" s="3" t="inlineStr">
        <is>
          <t>OP. TÜRÜ</t>
        </is>
      </c>
    </row>
    <row r="22">
      <c r="A22" s="4" t="inlineStr">
        <is>
          <t>P2</t>
        </is>
      </c>
      <c r="B22" s="4" t="n">
        <v>1</v>
      </c>
      <c r="C22" s="4" t="inlineStr">
        <is>
          <t>PIP 323.9×8  BORU</t>
        </is>
      </c>
      <c r="D22" s="4" t="inlineStr">
        <is>
          <t>S235JR</t>
        </is>
      </c>
      <c r="E22" s="4" t="n">
        <v>9369</v>
      </c>
      <c r="F22" s="4" t="n">
        <v>580.2</v>
      </c>
      <c r="G22" s="4" t="n">
        <v>580.2</v>
      </c>
      <c r="H22" s="4" t="inlineStr">
        <is>
          <t>Kesim+Kaynak</t>
        </is>
      </c>
    </row>
    <row r="23">
      <c r="A23" s="5" t="inlineStr">
        <is>
          <t>P9</t>
        </is>
      </c>
      <c r="B23" s="5" t="n">
        <v>1</v>
      </c>
      <c r="C23" s="5" t="inlineStr">
        <is>
          <t>PL25×1800  PLAKA</t>
        </is>
      </c>
      <c r="D23" s="5" t="inlineStr">
        <is>
          <t>S235JR</t>
        </is>
      </c>
      <c r="E23" s="5" t="n">
        <v>1800</v>
      </c>
      <c r="F23" s="5" t="n">
        <v>497.3</v>
      </c>
      <c r="G23" s="5" t="n">
        <v>497.3</v>
      </c>
      <c r="H23" s="5" t="inlineStr">
        <is>
          <t>Kesim+Kaynak</t>
        </is>
      </c>
    </row>
    <row r="24">
      <c r="A24" s="4" t="inlineStr">
        <is>
          <t>P10</t>
        </is>
      </c>
      <c r="B24" s="4" t="n">
        <v>1</v>
      </c>
      <c r="C24" s="4" t="inlineStr">
        <is>
          <t>PL15×250  PLAKA</t>
        </is>
      </c>
      <c r="D24" s="4" t="inlineStr">
        <is>
          <t>S235JR</t>
        </is>
      </c>
      <c r="E24" s="4" t="n">
        <v>4618</v>
      </c>
      <c r="F24" s="4" t="n">
        <v>137.1</v>
      </c>
      <c r="G24" s="4" t="n">
        <v>137.1</v>
      </c>
      <c r="H24" s="4" t="inlineStr">
        <is>
          <t>Kesim+Kaynak</t>
        </is>
      </c>
    </row>
    <row r="25">
      <c r="A25" s="11" t="inlineStr">
        <is>
          <t>KL1 TOPLAM (1 adet):</t>
        </is>
      </c>
      <c r="G25" s="3" t="n">
        <v>1214.6</v>
      </c>
    </row>
    <row r="27">
      <c r="A27" s="2" t="inlineStr">
        <is>
          <t>GENEL PLANTAN DİĞER YAPISAL ELEMANLAR  (Çizim sayfa 10)</t>
        </is>
      </c>
    </row>
    <row r="28" ht="35" customHeight="1">
      <c r="A28" s="3" t="inlineStr">
        <is>
          <t>POZ</t>
        </is>
      </c>
      <c r="B28" s="3" t="inlineStr">
        <is>
          <t>ADET
(TOPLAM)</t>
        </is>
      </c>
      <c r="C28" s="3" t="inlineStr">
        <is>
          <t>AÇIKLAMA</t>
        </is>
      </c>
      <c r="D28" s="3" t="inlineStr">
        <is>
          <t>MALZEME</t>
        </is>
      </c>
      <c r="E28" s="3" t="inlineStr">
        <is>
          <t>BOY
(mm)</t>
        </is>
      </c>
      <c r="F28" s="3" t="inlineStr">
        <is>
          <t>BİRİM
AĞIRLIK(kg)</t>
        </is>
      </c>
      <c r="G28" s="3" t="inlineStr">
        <is>
          <t>TOPLAM
AĞIRLIK(kg)</t>
        </is>
      </c>
      <c r="H28" s="3" t="inlineStr">
        <is>
          <t>OP. TÜRÜ</t>
        </is>
      </c>
    </row>
    <row r="29">
      <c r="A29" s="4" t="inlineStr">
        <is>
          <t>P3</t>
        </is>
      </c>
      <c r="B29" s="4" t="n">
        <v>24</v>
      </c>
      <c r="C29" s="4" t="inlineStr">
        <is>
          <t>PL10×300  PLAKA</t>
        </is>
      </c>
      <c r="D29" s="4" t="inlineStr">
        <is>
          <t>S235JR</t>
        </is>
      </c>
      <c r="E29" s="4" t="n">
        <v>300</v>
      </c>
      <c r="F29" s="4" t="n">
        <v>0.3</v>
      </c>
      <c r="G29" s="4" t="n">
        <v>7.1</v>
      </c>
      <c r="H29" s="4" t="inlineStr">
        <is>
          <t>Kesim+Kaynak</t>
        </is>
      </c>
    </row>
    <row r="30">
      <c r="A30" s="5" t="inlineStr">
        <is>
          <t>P4</t>
        </is>
      </c>
      <c r="B30" s="5" t="n">
        <v>1</v>
      </c>
      <c r="C30" s="5" t="inlineStr">
        <is>
          <t>PL15×750  PLAKA</t>
        </is>
      </c>
      <c r="D30" s="5" t="inlineStr">
        <is>
          <t>S235JR</t>
        </is>
      </c>
      <c r="E30" s="5" t="n">
        <v>750</v>
      </c>
      <c r="F30" s="5" t="n">
        <v>51.6</v>
      </c>
      <c r="G30" s="5" t="n">
        <v>51.6</v>
      </c>
      <c r="H30" s="5" t="inlineStr">
        <is>
          <t>Kesim+Kaynak</t>
        </is>
      </c>
    </row>
    <row r="31">
      <c r="A31" s="4" t="inlineStr">
        <is>
          <t>P5</t>
        </is>
      </c>
      <c r="B31" s="4" t="n">
        <v>24</v>
      </c>
      <c r="C31" s="4" t="inlineStr">
        <is>
          <t>UNP200</t>
        </is>
      </c>
      <c r="D31" s="4" t="inlineStr">
        <is>
          <t>S235JR</t>
        </is>
      </c>
      <c r="E31" s="4" t="n">
        <v>1227</v>
      </c>
      <c r="F31" s="4" t="n">
        <v>31</v>
      </c>
      <c r="G31" s="4" t="n">
        <v>744</v>
      </c>
      <c r="H31" s="4" t="inlineStr">
        <is>
          <t>Kesim+Kaynak</t>
        </is>
      </c>
    </row>
    <row r="32">
      <c r="A32" s="5" t="inlineStr">
        <is>
          <t>P6</t>
        </is>
      </c>
      <c r="B32" s="5" t="n">
        <v>24</v>
      </c>
      <c r="C32" s="5" t="inlineStr">
        <is>
          <t>UNP200</t>
        </is>
      </c>
      <c r="D32" s="5" t="inlineStr">
        <is>
          <t>S235JR</t>
        </is>
      </c>
      <c r="E32" s="5" t="n">
        <v>677</v>
      </c>
      <c r="F32" s="5" t="n">
        <v>17.1</v>
      </c>
      <c r="G32" s="5" t="n">
        <v>410.4</v>
      </c>
      <c r="H32" s="5" t="inlineStr">
        <is>
          <t>Kesim+Kaynak</t>
        </is>
      </c>
    </row>
    <row r="33">
      <c r="A33" s="4" t="inlineStr">
        <is>
          <t>P7</t>
        </is>
      </c>
      <c r="B33" s="4" t="n">
        <v>12</v>
      </c>
      <c r="C33" s="4" t="inlineStr">
        <is>
          <t>L80×8  KÖŞEBENTi</t>
        </is>
      </c>
      <c r="D33" s="4" t="inlineStr">
        <is>
          <t>S235JR</t>
        </is>
      </c>
      <c r="E33" s="4" t="n">
        <v>1931</v>
      </c>
      <c r="F33" s="4" t="n">
        <v>18.6</v>
      </c>
      <c r="G33" s="4" t="n">
        <v>223.2</v>
      </c>
      <c r="H33" s="4" t="inlineStr">
        <is>
          <t>Kesim+Kaynak</t>
        </is>
      </c>
    </row>
    <row r="34">
      <c r="A34" s="5" t="inlineStr">
        <is>
          <t>P8</t>
        </is>
      </c>
      <c r="B34" s="5" t="n">
        <v>12</v>
      </c>
      <c r="C34" s="5" t="inlineStr">
        <is>
          <t>L80×8  KÖŞEBENTi</t>
        </is>
      </c>
      <c r="D34" s="5" t="inlineStr">
        <is>
          <t>S235JR</t>
        </is>
      </c>
      <c r="E34" s="5" t="n">
        <v>1984</v>
      </c>
      <c r="F34" s="5" t="n">
        <v>19.2</v>
      </c>
      <c r="G34" s="5" t="n">
        <v>230.4</v>
      </c>
      <c r="H34" s="5" t="inlineStr">
        <is>
          <t>Kesim+Kaynak</t>
        </is>
      </c>
    </row>
    <row r="35">
      <c r="A35" s="4" t="inlineStr">
        <is>
          <t>P11</t>
        </is>
      </c>
      <c r="B35" s="4" t="n">
        <v>1</v>
      </c>
      <c r="C35" s="4" t="inlineStr">
        <is>
          <t>PL10×200  PLAKA</t>
        </is>
      </c>
      <c r="D35" s="4" t="inlineStr">
        <is>
          <t>S235JR</t>
        </is>
      </c>
      <c r="E35" s="4" t="n">
        <v>5341</v>
      </c>
      <c r="F35" s="4" t="n">
        <v>84.2</v>
      </c>
      <c r="G35" s="4" t="n">
        <v>84.2</v>
      </c>
      <c r="H35" s="4" t="inlineStr">
        <is>
          <t>Kesim+Kaynak</t>
        </is>
      </c>
    </row>
    <row r="36">
      <c r="A36" s="5" t="inlineStr">
        <is>
          <t>P12</t>
        </is>
      </c>
      <c r="B36" s="5" t="n">
        <v>1</v>
      </c>
      <c r="C36" s="5" t="inlineStr">
        <is>
          <t>PL25×750  PLAKA</t>
        </is>
      </c>
      <c r="D36" s="5" t="inlineStr">
        <is>
          <t>S235JR</t>
        </is>
      </c>
      <c r="E36" s="5" t="n">
        <v>750</v>
      </c>
      <c r="F36" s="5" t="n">
        <v>86</v>
      </c>
      <c r="G36" s="5" t="n">
        <v>86</v>
      </c>
      <c r="H36" s="5" t="inlineStr">
        <is>
          <t>Kesim+Kaynak</t>
        </is>
      </c>
    </row>
    <row r="37">
      <c r="A37" s="4" t="inlineStr">
        <is>
          <t>P13</t>
        </is>
      </c>
      <c r="B37" s="4" t="n">
        <v>24</v>
      </c>
      <c r="C37" s="4" t="inlineStr">
        <is>
          <t>PL10×200  PLAKA</t>
        </is>
      </c>
      <c r="D37" s="4" t="inlineStr">
        <is>
          <t>S235JR</t>
        </is>
      </c>
      <c r="E37" s="4" t="n">
        <v>250</v>
      </c>
      <c r="F37" s="4" t="n">
        <v>0.4</v>
      </c>
      <c r="G37" s="4" t="n">
        <v>9.6</v>
      </c>
      <c r="H37" s="4" t="inlineStr">
        <is>
          <t>Kesim</t>
        </is>
      </c>
    </row>
    <row r="38">
      <c r="A38" s="5" t="inlineStr">
        <is>
          <t>P14</t>
        </is>
      </c>
      <c r="B38" s="5" t="n">
        <v>24</v>
      </c>
      <c r="C38" s="5" t="inlineStr">
        <is>
          <t>PL10×200  PLAKA</t>
        </is>
      </c>
      <c r="D38" s="5" t="inlineStr">
        <is>
          <t>S235JR</t>
        </is>
      </c>
      <c r="E38" s="5" t="n">
        <v>100</v>
      </c>
      <c r="F38" s="5" t="n">
        <v>0.2</v>
      </c>
      <c r="G38" s="5" t="n">
        <v>4.8</v>
      </c>
      <c r="H38" s="5" t="inlineStr">
        <is>
          <t>Kesim</t>
        </is>
      </c>
    </row>
    <row r="39">
      <c r="A39" s="4" t="inlineStr">
        <is>
          <t>P15</t>
        </is>
      </c>
      <c r="B39" s="4" t="n">
        <v>24</v>
      </c>
      <c r="C39" s="4" t="inlineStr">
        <is>
          <t>PL10×248  PLAKA</t>
        </is>
      </c>
      <c r="D39" s="4" t="inlineStr">
        <is>
          <t>S235JR</t>
        </is>
      </c>
      <c r="E39" s="4" t="n">
        <v>299</v>
      </c>
      <c r="F39" s="4" t="n">
        <v>0.6</v>
      </c>
      <c r="G39" s="4" t="n">
        <v>14.4</v>
      </c>
      <c r="H39" s="4" t="inlineStr">
        <is>
          <t>Kesim</t>
        </is>
      </c>
    </row>
    <row r="40">
      <c r="A40" s="5" t="inlineStr">
        <is>
          <t>P16</t>
        </is>
      </c>
      <c r="B40" s="5" t="n">
        <v>24</v>
      </c>
      <c r="C40" s="5" t="inlineStr">
        <is>
          <t>PL10×150  PLAKA</t>
        </is>
      </c>
      <c r="D40" s="5" t="inlineStr">
        <is>
          <t>S235JR</t>
        </is>
      </c>
      <c r="E40" s="5" t="n">
        <v>250</v>
      </c>
      <c r="F40" s="5" t="n">
        <v>0.4</v>
      </c>
      <c r="G40" s="5" t="n">
        <v>9.6</v>
      </c>
      <c r="H40" s="5" t="inlineStr">
        <is>
          <t>Kesim</t>
        </is>
      </c>
    </row>
    <row r="41">
      <c r="A41" s="4" t="inlineStr">
        <is>
          <t>P17</t>
        </is>
      </c>
      <c r="B41" s="4" t="n">
        <v>4</v>
      </c>
      <c r="C41" s="4" t="inlineStr">
        <is>
          <t>PL10×513  PLAKA</t>
        </is>
      </c>
      <c r="D41" s="4" t="inlineStr">
        <is>
          <t>S235JR</t>
        </is>
      </c>
      <c r="E41" s="4" t="n">
        <v>675</v>
      </c>
      <c r="F41" s="4" t="n">
        <v>5.2</v>
      </c>
      <c r="G41" s="4" t="n">
        <v>20.8</v>
      </c>
      <c r="H41" s="4" t="inlineStr">
        <is>
          <t>Kesim+Kaynak</t>
        </is>
      </c>
    </row>
    <row r="42">
      <c r="A42" s="5" t="inlineStr">
        <is>
          <t>P18</t>
        </is>
      </c>
      <c r="B42" s="5" t="n">
        <v>1</v>
      </c>
      <c r="C42" s="5" t="inlineStr">
        <is>
          <t>PL20×600  PLAKA</t>
        </is>
      </c>
      <c r="D42" s="5" t="inlineStr">
        <is>
          <t>S235JR</t>
        </is>
      </c>
      <c r="E42" s="5" t="n">
        <v>600</v>
      </c>
      <c r="F42" s="5" t="n">
        <v>43.9</v>
      </c>
      <c r="G42" s="5" t="n">
        <v>43.9</v>
      </c>
      <c r="H42" s="5" t="inlineStr">
        <is>
          <t>Kesim+Kaynak</t>
        </is>
      </c>
    </row>
    <row r="43">
      <c r="A43" s="4" t="inlineStr">
        <is>
          <t>P19</t>
        </is>
      </c>
      <c r="B43" s="4" t="n">
        <v>1</v>
      </c>
      <c r="C43" s="4" t="inlineStr">
        <is>
          <t>PL15×100  PLAKA</t>
        </is>
      </c>
      <c r="D43" s="4" t="inlineStr">
        <is>
          <t>S235JR</t>
        </is>
      </c>
      <c r="E43" s="4" t="n">
        <v>1916</v>
      </c>
      <c r="F43" s="4" t="n">
        <v>23</v>
      </c>
      <c r="G43" s="4" t="n">
        <v>23</v>
      </c>
      <c r="H43" s="4" t="inlineStr">
        <is>
          <t>Kesim</t>
        </is>
      </c>
    </row>
    <row r="44">
      <c r="A44" s="5" t="inlineStr">
        <is>
          <t>P20</t>
        </is>
      </c>
      <c r="B44" s="5" t="n">
        <v>48</v>
      </c>
      <c r="C44" s="5" t="inlineStr">
        <is>
          <t>PL10×113  PLAKA</t>
        </is>
      </c>
      <c r="D44" s="5" t="inlineStr">
        <is>
          <t>S235JR</t>
        </is>
      </c>
      <c r="E44" s="5" t="n">
        <v>221</v>
      </c>
      <c r="F44" s="5" t="n">
        <v>0.2</v>
      </c>
      <c r="G44" s="5" t="n">
        <v>9.6</v>
      </c>
      <c r="H44" s="5" t="inlineStr">
        <is>
          <t>Kesim</t>
        </is>
      </c>
    </row>
    <row r="45">
      <c r="A45" s="4" t="inlineStr">
        <is>
          <t>P21</t>
        </is>
      </c>
      <c r="B45" s="4" t="n">
        <v>48</v>
      </c>
      <c r="C45" s="4" t="inlineStr">
        <is>
          <t>PL10×98   PLAKA</t>
        </is>
      </c>
      <c r="D45" s="4" t="inlineStr">
        <is>
          <t>S235JR</t>
        </is>
      </c>
      <c r="E45" s="4" t="n">
        <v>182</v>
      </c>
      <c r="F45" s="4" t="n">
        <v>0.1</v>
      </c>
      <c r="G45" s="4" t="n">
        <v>4.8</v>
      </c>
      <c r="H45" s="4" t="inlineStr">
        <is>
          <t>Kesim</t>
        </is>
      </c>
    </row>
    <row r="46">
      <c r="A46" s="5" t="inlineStr">
        <is>
          <t>P22</t>
        </is>
      </c>
      <c r="B46" s="5" t="n">
        <v>12</v>
      </c>
      <c r="C46" s="5" t="inlineStr">
        <is>
          <t>PL10×221  PLAKA</t>
        </is>
      </c>
      <c r="D46" s="5" t="inlineStr">
        <is>
          <t>S235JR</t>
        </is>
      </c>
      <c r="E46" s="5" t="n">
        <v>193</v>
      </c>
      <c r="F46" s="5" t="n">
        <v>0.3</v>
      </c>
      <c r="G46" s="5" t="n">
        <v>3.6</v>
      </c>
      <c r="H46" s="5" t="inlineStr">
        <is>
          <t>Kesim</t>
        </is>
      </c>
    </row>
    <row r="47">
      <c r="A47" s="4" t="inlineStr">
        <is>
          <t>P23</t>
        </is>
      </c>
      <c r="B47" s="4" t="n">
        <v>12</v>
      </c>
      <c r="C47" s="4" t="inlineStr">
        <is>
          <t>PL10×162  PLAKA</t>
        </is>
      </c>
      <c r="D47" s="4" t="inlineStr">
        <is>
          <t>S235JR</t>
        </is>
      </c>
      <c r="E47" s="4" t="n">
        <v>216</v>
      </c>
      <c r="F47" s="4" t="n">
        <v>0.2</v>
      </c>
      <c r="G47" s="4" t="n">
        <v>2.4</v>
      </c>
      <c r="H47" s="4" t="inlineStr">
        <is>
          <t>Kesim</t>
        </is>
      </c>
    </row>
    <row r="48">
      <c r="A48" s="5" t="inlineStr">
        <is>
          <t>P24</t>
        </is>
      </c>
      <c r="B48" s="5" t="n">
        <v>12</v>
      </c>
      <c r="C48" s="5" t="inlineStr">
        <is>
          <t>PL10×189  PLAKA</t>
        </is>
      </c>
      <c r="D48" s="5" t="inlineStr">
        <is>
          <t>S235JR</t>
        </is>
      </c>
      <c r="E48" s="5" t="n">
        <v>232</v>
      </c>
      <c r="F48" s="5" t="n">
        <v>0.3</v>
      </c>
      <c r="G48" s="5" t="n">
        <v>3.6</v>
      </c>
      <c r="H48" s="5" t="inlineStr">
        <is>
          <t>Kesim</t>
        </is>
      </c>
    </row>
    <row r="49">
      <c r="A49" s="4" t="inlineStr">
        <is>
          <t>P25</t>
        </is>
      </c>
      <c r="B49" s="4" t="n">
        <v>12</v>
      </c>
      <c r="C49" s="4" t="inlineStr">
        <is>
          <t>PL10×139  PLAKA</t>
        </is>
      </c>
      <c r="D49" s="4" t="inlineStr">
        <is>
          <t>S235JR</t>
        </is>
      </c>
      <c r="E49" s="4" t="n">
        <v>244</v>
      </c>
      <c r="F49" s="4" t="n">
        <v>0.2</v>
      </c>
      <c r="G49" s="4" t="n">
        <v>2.4</v>
      </c>
      <c r="H49" s="4" t="inlineStr">
        <is>
          <t>Kesim</t>
        </is>
      </c>
    </row>
  </sheetData>
  <mergeCells count="8">
    <mergeCell ref="A20:H20"/>
    <mergeCell ref="A2:H2"/>
    <mergeCell ref="A9:F9"/>
    <mergeCell ref="A11:H11"/>
    <mergeCell ref="A18:F18"/>
    <mergeCell ref="A1:H1"/>
    <mergeCell ref="A27:H27"/>
    <mergeCell ref="A25:F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6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1" t="inlineStr">
        <is>
          <t>7000 Bbl ÜRETİM TANKI — MALİYET TAHMİN ÇİZELGESİ  (1 TANK İÇİN)</t>
        </is>
      </c>
    </row>
    <row r="2" ht="20" customHeight="1">
      <c r="A2" s="7" t="inlineStr">
        <is>
          <t>BÖLÜM</t>
        </is>
      </c>
      <c r="B2" s="7" t="inlineStr">
        <is>
          <t>AÇIKLAMA</t>
        </is>
      </c>
      <c r="C2" s="7" t="inlineStr">
        <is>
          <t>MALZEME
SINIFI</t>
        </is>
      </c>
      <c r="D2" s="7" t="inlineStr">
        <is>
          <t>AĞIRLIK
(kg)</t>
        </is>
      </c>
      <c r="E2" s="7" t="inlineStr">
        <is>
          <t>MALZEMEBİRİM
FİYAT ($/kg)</t>
        </is>
      </c>
      <c r="F2" s="7" t="inlineStr">
        <is>
          <t>MALZEME
MALİYETİ ($)</t>
        </is>
      </c>
      <c r="G2" s="7" t="inlineStr">
        <is>
          <t>İŞÇİLİK
FİYAT ($/kg)</t>
        </is>
      </c>
      <c r="H2" s="7" t="inlineStr">
        <is>
          <t>İŞÇİLİK
MALİYETİ ($)</t>
        </is>
      </c>
      <c r="I2" s="7" t="inlineStr">
        <is>
          <t>TOPLAM ($)</t>
        </is>
      </c>
    </row>
    <row r="3" ht="20" customHeight="1">
      <c r="A3" s="4" t="inlineStr">
        <is>
          <t>GÖVDE</t>
        </is>
      </c>
      <c r="B3" s="12" t="inlineStr">
        <is>
          <t>Gövde Silindirik Sacları (Shell Plates)</t>
        </is>
      </c>
      <c r="C3" s="4" t="inlineStr">
        <is>
          <t>S275J2</t>
        </is>
      </c>
      <c r="D3" s="4" t="n">
        <v>16513</v>
      </c>
      <c r="E3" s="13" t="inlineStr"/>
      <c r="F3" s="4">
        <f>D3*E3</f>
        <v/>
      </c>
      <c r="G3" s="13" t="inlineStr"/>
      <c r="H3" s="4">
        <f>D3*G3</f>
        <v/>
      </c>
      <c r="I3" s="4">
        <f>F3+H3</f>
        <v/>
      </c>
    </row>
    <row r="4" ht="20" customHeight="1">
      <c r="A4" s="5" t="inlineStr">
        <is>
          <t>TABAN</t>
        </is>
      </c>
      <c r="B4" s="14" t="inlineStr">
        <is>
          <t>Taban Plakaları (Bottom Plates)</t>
        </is>
      </c>
      <c r="C4" s="5" t="inlineStr">
        <is>
          <t>S275J2</t>
        </is>
      </c>
      <c r="D4" s="5" t="n">
        <v>11176.7</v>
      </c>
      <c r="E4" s="13" t="inlineStr"/>
      <c r="F4" s="4">
        <f>D4*E4</f>
        <v/>
      </c>
      <c r="G4" s="13" t="inlineStr"/>
      <c r="H4" s="4">
        <f>D4*G4</f>
        <v/>
      </c>
      <c r="I4" s="4">
        <f>F4+H4</f>
        <v/>
      </c>
    </row>
    <row r="5" ht="20" customHeight="1">
      <c r="A5" s="4" t="inlineStr">
        <is>
          <t>TABAN</t>
        </is>
      </c>
      <c r="B5" s="12" t="inlineStr">
        <is>
          <t>Drenaj Çukuru</t>
        </is>
      </c>
      <c r="C5" s="4" t="inlineStr">
        <is>
          <t>S275J2</t>
        </is>
      </c>
      <c r="D5" s="4" t="n">
        <v>76.09999999999999</v>
      </c>
      <c r="E5" s="13" t="inlineStr"/>
      <c r="F5" s="4">
        <f>D5*E5</f>
        <v/>
      </c>
      <c r="G5" s="13" t="inlineStr"/>
      <c r="H5" s="4">
        <f>D5*G5</f>
        <v/>
      </c>
      <c r="I5" s="4">
        <f>F5+H5</f>
        <v/>
      </c>
    </row>
    <row r="6" ht="20" customHeight="1">
      <c r="A6" s="5" t="inlineStr">
        <is>
          <t>TAVAN</t>
        </is>
      </c>
      <c r="B6" s="14" t="inlineStr">
        <is>
          <t>Konik Tavan Sacları (Roof Plates)</t>
        </is>
      </c>
      <c r="C6" s="5" t="inlineStr">
        <is>
          <t>S275J2</t>
        </is>
      </c>
      <c r="D6" s="5" t="n">
        <v>8147</v>
      </c>
      <c r="E6" s="13" t="inlineStr"/>
      <c r="F6" s="4">
        <f>D6*E6</f>
        <v/>
      </c>
      <c r="G6" s="13" t="inlineStr"/>
      <c r="H6" s="4">
        <f>D6*G6</f>
        <v/>
      </c>
      <c r="I6" s="4">
        <f>F6+H6</f>
        <v/>
      </c>
    </row>
    <row r="7" ht="20" customHeight="1">
      <c r="A7" s="4" t="inlineStr">
        <is>
          <t>TAVAN</t>
        </is>
      </c>
      <c r="B7" s="12" t="inlineStr">
        <is>
          <t>Konik Çatı Yapısal İskelet (UNP+PL+PIP)</t>
        </is>
      </c>
      <c r="C7" s="4" t="inlineStr">
        <is>
          <t>S235JR</t>
        </is>
      </c>
      <c r="D7" s="4" t="inlineStr">
        <is>
          <t>—</t>
        </is>
      </c>
      <c r="E7" s="13" t="inlineStr"/>
      <c r="F7" s="4" t="inlineStr"/>
      <c r="G7" s="13" t="inlineStr"/>
      <c r="H7" s="4" t="inlineStr"/>
      <c r="I7" s="4" t="inlineStr"/>
    </row>
    <row r="8" ht="20" customHeight="1">
      <c r="A8" s="5" t="inlineStr">
        <is>
          <t>NOZUL</t>
        </is>
      </c>
      <c r="B8" s="14" t="inlineStr">
        <is>
          <t>Nozul N1 (12") × 1 adet</t>
        </is>
      </c>
      <c r="C8" s="5" t="inlineStr">
        <is>
          <t>ASTM A106B/A105</t>
        </is>
      </c>
      <c r="D8" s="5" t="n">
        <v>68.5</v>
      </c>
      <c r="E8" s="13" t="inlineStr"/>
      <c r="F8" s="4">
        <f>D8*E8</f>
        <v/>
      </c>
      <c r="G8" s="13" t="inlineStr"/>
      <c r="H8" s="4">
        <f>D8*G8</f>
        <v/>
      </c>
      <c r="I8" s="4">
        <f>F8+H8</f>
        <v/>
      </c>
    </row>
    <row r="9" ht="20" customHeight="1">
      <c r="A9" s="4" t="inlineStr">
        <is>
          <t>NOZUL</t>
        </is>
      </c>
      <c r="B9" s="12" t="inlineStr">
        <is>
          <t>Nozul N3 (6") × 2 adet</t>
        </is>
      </c>
      <c r="C9" s="4" t="inlineStr">
        <is>
          <t>ASTM A106B/A105</t>
        </is>
      </c>
      <c r="D9" s="4" t="n">
        <v>124</v>
      </c>
      <c r="E9" s="13" t="inlineStr"/>
      <c r="F9" s="4">
        <f>D9*E9</f>
        <v/>
      </c>
      <c r="G9" s="13" t="inlineStr"/>
      <c r="H9" s="4">
        <f>D9*G9</f>
        <v/>
      </c>
      <c r="I9" s="4">
        <f>F9+H9</f>
        <v/>
      </c>
    </row>
    <row r="10" ht="20" customHeight="1">
      <c r="A10" s="5" t="inlineStr">
        <is>
          <t>NOZUL</t>
        </is>
      </c>
      <c r="B10" s="14" t="inlineStr">
        <is>
          <t>Nozul N8 (8") × 1 adet</t>
        </is>
      </c>
      <c r="C10" s="5" t="inlineStr">
        <is>
          <t>ASTM A106B/A105</t>
        </is>
      </c>
      <c r="D10" s="5" t="n">
        <v>31.9</v>
      </c>
      <c r="E10" s="13" t="inlineStr"/>
      <c r="F10" s="4">
        <f>D10*E10</f>
        <v/>
      </c>
      <c r="G10" s="13" t="inlineStr"/>
      <c r="H10" s="4">
        <f>D10*G10</f>
        <v/>
      </c>
      <c r="I10" s="4">
        <f>F10+H10</f>
        <v/>
      </c>
    </row>
    <row r="11" ht="20" customHeight="1">
      <c r="A11" s="4" t="inlineStr">
        <is>
          <t>NOZUL</t>
        </is>
      </c>
      <c r="B11" s="12" t="inlineStr">
        <is>
          <t>Nozul N9 (4") × 1 adet</t>
        </is>
      </c>
      <c r="C11" s="4" t="inlineStr">
        <is>
          <t>ASTM A106B/A105</t>
        </is>
      </c>
      <c r="D11" s="4" t="n">
        <v>14.7</v>
      </c>
      <c r="E11" s="13" t="inlineStr"/>
      <c r="F11" s="4">
        <f>D11*E11</f>
        <v/>
      </c>
      <c r="G11" s="13" t="inlineStr"/>
      <c r="H11" s="4">
        <f>D11*G11</f>
        <v/>
      </c>
      <c r="I11" s="4">
        <f>F11+H11</f>
        <v/>
      </c>
    </row>
    <row r="12" ht="20" customHeight="1">
      <c r="A12" s="5" t="inlineStr">
        <is>
          <t>NOZUL</t>
        </is>
      </c>
      <c r="B12" s="14" t="inlineStr">
        <is>
          <t>Nozul N9 (1½") × 1 adet</t>
        </is>
      </c>
      <c r="C12" s="5" t="inlineStr">
        <is>
          <t>ASTM A106B/A105</t>
        </is>
      </c>
      <c r="D12" s="5" t="n">
        <v>2.65</v>
      </c>
      <c r="E12" s="13" t="inlineStr"/>
      <c r="F12" s="4">
        <f>D12*E12</f>
        <v/>
      </c>
      <c r="G12" s="13" t="inlineStr"/>
      <c r="H12" s="4">
        <f>D12*G12</f>
        <v/>
      </c>
      <c r="I12" s="4">
        <f>F12+H12</f>
        <v/>
      </c>
    </row>
    <row r="13" ht="20" customHeight="1">
      <c r="A13" s="4" t="inlineStr">
        <is>
          <t>NOZUL</t>
        </is>
      </c>
      <c r="B13" s="12" t="inlineStr">
        <is>
          <t>Nozul N18 (1") × 1 adet</t>
        </is>
      </c>
      <c r="C13" s="4" t="inlineStr">
        <is>
          <t>ASTM A106B/A105</t>
        </is>
      </c>
      <c r="D13" s="4" t="n">
        <v>1.7</v>
      </c>
      <c r="E13" s="13" t="inlineStr"/>
      <c r="F13" s="4">
        <f>D13*E13</f>
        <v/>
      </c>
      <c r="G13" s="13" t="inlineStr"/>
      <c r="H13" s="4">
        <f>D13*G13</f>
        <v/>
      </c>
      <c r="I13" s="4">
        <f>F13+H13</f>
        <v/>
      </c>
    </row>
    <row r="14" ht="20" customHeight="1">
      <c r="A14" s="5" t="inlineStr">
        <is>
          <t>NOZUL</t>
        </is>
      </c>
      <c r="B14" s="14" t="inlineStr">
        <is>
          <t>Nozul N21 (12") × 4 adet</t>
        </is>
      </c>
      <c r="C14" s="5" t="inlineStr">
        <is>
          <t>ASTM A106B/A105</t>
        </is>
      </c>
      <c r="D14" s="5" t="n">
        <v>244.4</v>
      </c>
      <c r="E14" s="13" t="inlineStr"/>
      <c r="F14" s="4">
        <f>D14*E14</f>
        <v/>
      </c>
      <c r="G14" s="13" t="inlineStr"/>
      <c r="H14" s="4">
        <f>D14*G14</f>
        <v/>
      </c>
      <c r="I14" s="4">
        <f>F14+H14</f>
        <v/>
      </c>
    </row>
    <row r="15" ht="20" customHeight="1">
      <c r="A15" s="4" t="inlineStr">
        <is>
          <t>MANHOL</t>
        </is>
      </c>
      <c r="B15" s="12" t="inlineStr">
        <is>
          <t>24" Gövde Manholu M1 × 1 adet</t>
        </is>
      </c>
      <c r="C15" s="4" t="inlineStr">
        <is>
          <t>S275J2/A105</t>
        </is>
      </c>
      <c r="D15" s="4" t="n">
        <v>180</v>
      </c>
      <c r="E15" s="13" t="inlineStr"/>
      <c r="F15" s="4">
        <f>D15*E15</f>
        <v/>
      </c>
      <c r="G15" s="13" t="inlineStr"/>
      <c r="H15" s="4">
        <f>D15*G15</f>
        <v/>
      </c>
      <c r="I15" s="4">
        <f>F15+H15</f>
        <v/>
      </c>
    </row>
    <row r="16" ht="20" customHeight="1">
      <c r="A16" s="5" t="inlineStr">
        <is>
          <t>MANHOL</t>
        </is>
      </c>
      <c r="B16" s="14" t="inlineStr">
        <is>
          <t>24" Tavan Manholu M2 × 1 adet</t>
        </is>
      </c>
      <c r="C16" s="5" t="inlineStr">
        <is>
          <t>S275J2</t>
        </is>
      </c>
      <c r="D16" s="5" t="n">
        <v>132.5</v>
      </c>
      <c r="E16" s="13" t="inlineStr"/>
      <c r="F16" s="4">
        <f>D16*E16</f>
        <v/>
      </c>
      <c r="G16" s="13" t="inlineStr"/>
      <c r="H16" s="4">
        <f>D16*G16</f>
        <v/>
      </c>
      <c r="I16" s="4">
        <f>F16+H16</f>
        <v/>
      </c>
    </row>
    <row r="17" ht="20" customHeight="1">
      <c r="A17" s="4" t="inlineStr">
        <is>
          <t>ANKRAJ</t>
        </is>
      </c>
      <c r="B17" s="12" t="inlineStr">
        <is>
          <t>Ankraj Detayı</t>
        </is>
      </c>
      <c r="C17" s="4" t="inlineStr">
        <is>
          <t>S275J2</t>
        </is>
      </c>
      <c r="D17" s="4" t="n">
        <v>13.5</v>
      </c>
      <c r="E17" s="13" t="inlineStr"/>
      <c r="F17" s="4">
        <f>D17*E17</f>
        <v/>
      </c>
      <c r="G17" s="13" t="inlineStr"/>
      <c r="H17" s="4">
        <f>D17*G17</f>
        <v/>
      </c>
      <c r="I17" s="4">
        <f>F17+H17</f>
        <v/>
      </c>
    </row>
    <row r="18" ht="20" customHeight="1">
      <c r="A18" s="5" t="inlineStr">
        <is>
          <t>İSİM</t>
        </is>
      </c>
      <c r="B18" s="14" t="inlineStr">
        <is>
          <t>İsim Plakası</t>
        </is>
      </c>
      <c r="C18" s="5" t="inlineStr">
        <is>
          <t>–</t>
        </is>
      </c>
      <c r="D18" s="5" t="n">
        <v>5.18</v>
      </c>
      <c r="E18" s="13" t="inlineStr"/>
      <c r="F18" s="4">
        <f>D18*E18</f>
        <v/>
      </c>
      <c r="G18" s="13" t="inlineStr"/>
      <c r="H18" s="4">
        <f>D18*G18</f>
        <v/>
      </c>
      <c r="I18" s="4">
        <f>F18+H18</f>
        <v/>
      </c>
    </row>
    <row r="19" ht="20" customHeight="1">
      <c r="A19" s="4" t="inlineStr">
        <is>
          <t>DİĞER</t>
        </is>
      </c>
      <c r="B19" s="12" t="inlineStr">
        <is>
          <t>Merdiven + Korkuluk (detay bekleniyor)</t>
        </is>
      </c>
      <c r="C19" s="4" t="inlineStr">
        <is>
          <t>S235JR</t>
        </is>
      </c>
      <c r="D19" s="4" t="inlineStr">
        <is>
          <t>—</t>
        </is>
      </c>
      <c r="E19" s="13" t="inlineStr"/>
      <c r="F19" s="4" t="inlineStr"/>
      <c r="G19" s="13" t="inlineStr"/>
      <c r="H19" s="4" t="inlineStr"/>
      <c r="I19" s="4" t="inlineStr"/>
    </row>
    <row r="20" ht="20" customHeight="1">
      <c r="A20" s="5" t="inlineStr">
        <is>
          <t>DİĞER</t>
        </is>
      </c>
      <c r="B20" s="14" t="inlineStr">
        <is>
          <t>Samandıra + Diğer (detay bekleniyor)</t>
        </is>
      </c>
      <c r="C20" s="5" t="inlineStr">
        <is>
          <t>–</t>
        </is>
      </c>
      <c r="D20" s="5" t="inlineStr">
        <is>
          <t>—</t>
        </is>
      </c>
      <c r="E20" s="13" t="inlineStr"/>
      <c r="F20" s="4" t="inlineStr"/>
      <c r="G20" s="13" t="inlineStr"/>
      <c r="H20" s="4" t="inlineStr"/>
      <c r="I20" s="4" t="inlineStr"/>
    </row>
    <row r="21" ht="20" customHeight="1">
      <c r="A21" s="2" t="inlineStr">
        <is>
          <t>══════ BOYA VE YÜZEY İŞLEM MALİYETİ (m² × birim fiyat) ══════</t>
        </is>
      </c>
    </row>
    <row r="22" ht="20" customHeight="1">
      <c r="A22" s="3" t="inlineStr">
        <is>
          <t>ALAN</t>
        </is>
      </c>
      <c r="B22" s="3" t="inlineStr">
        <is>
          <t>BİRİM</t>
        </is>
      </c>
      <c r="C22" s="3" t="inlineStr">
        <is>
          <t>TAHMİNİ MİKTAR</t>
        </is>
      </c>
      <c r="D22" s="3" t="inlineStr">
        <is>
          <t>KAT SAYISI</t>
        </is>
      </c>
      <c r="E22" s="3" t="inlineStr">
        <is>
          <t>İÇ BOYA $/m²</t>
        </is>
      </c>
      <c r="F22" s="3" t="inlineStr">
        <is>
          <t>İÇ BOYA $</t>
        </is>
      </c>
      <c r="G22" s="3" t="inlineStr">
        <is>
          <t>DIŞ BOYA $/m²</t>
        </is>
      </c>
      <c r="H22" s="3" t="inlineStr">
        <is>
          <t>DIŞ BOYA $</t>
        </is>
      </c>
      <c r="I22" s="3" t="inlineStr">
        <is>
          <t>TOPLAM $</t>
        </is>
      </c>
    </row>
    <row r="23" ht="20" customHeight="1">
      <c r="A23" s="4" t="inlineStr">
        <is>
          <t>İç Yüzey (Gövde+Taban)</t>
        </is>
      </c>
      <c r="B23" s="4" t="inlineStr">
        <is>
          <t>m²</t>
        </is>
      </c>
      <c r="C23" s="4" t="inlineStr">
        <is>
          <t>~520 m²</t>
        </is>
      </c>
      <c r="D23" s="4" t="n">
        <v>2</v>
      </c>
      <c r="E23" s="13" t="inlineStr"/>
      <c r="F23" s="4" t="inlineStr"/>
      <c r="G23" s="13" t="inlineStr"/>
      <c r="H23" s="4" t="inlineStr"/>
      <c r="I23" s="4" t="inlineStr"/>
    </row>
    <row r="24" ht="20" customHeight="1">
      <c r="A24" s="5" t="inlineStr">
        <is>
          <t>Dış Yüzey (Gövde+Tavan)</t>
        </is>
      </c>
      <c r="B24" s="5" t="inlineStr">
        <is>
          <t>m²</t>
        </is>
      </c>
      <c r="C24" s="5" t="inlineStr">
        <is>
          <t>~525 m²</t>
        </is>
      </c>
      <c r="D24" s="5" t="n">
        <v>2</v>
      </c>
      <c r="E24" s="13" t="inlineStr"/>
      <c r="F24" s="5" t="inlineStr"/>
      <c r="G24" s="13" t="inlineStr"/>
      <c r="H24" s="5" t="inlineStr"/>
      <c r="I24" s="5" t="inlineStr"/>
    </row>
    <row r="25" ht="20" customHeight="1">
      <c r="A25" s="4" t="inlineStr">
        <is>
          <t>İç Tavan Yüzeyi</t>
        </is>
      </c>
      <c r="B25" s="4" t="inlineStr">
        <is>
          <t>m²</t>
        </is>
      </c>
      <c r="C25" s="4" t="inlineStr">
        <is>
          <t>~130 m²</t>
        </is>
      </c>
      <c r="D25" s="4" t="n">
        <v>2</v>
      </c>
      <c r="E25" s="13" t="inlineStr"/>
      <c r="F25" s="4" t="inlineStr"/>
      <c r="G25" s="13" t="inlineStr"/>
      <c r="H25" s="4" t="inlineStr"/>
      <c r="I25" s="4" t="inlineStr"/>
    </row>
    <row r="26" ht="20" customHeight="1">
      <c r="A26" s="2" t="inlineStr">
        <is>
          <t>══════ KAYNAK MALİYETİ ══════</t>
        </is>
      </c>
    </row>
    <row r="27" ht="20" customHeight="1">
      <c r="A27" s="3" t="inlineStr">
        <is>
          <t>KAYNAK TÜRÜ</t>
        </is>
      </c>
      <c r="B27" s="3" t="inlineStr">
        <is>
          <t>BİRİM</t>
        </is>
      </c>
      <c r="C27" s="3" t="inlineStr">
        <is>
          <t>MİKTAR</t>
        </is>
      </c>
      <c r="D27" s="3" t="inlineStr">
        <is>
          <t>KAYNAK KALİTESİ</t>
        </is>
      </c>
      <c r="E27" s="3" t="inlineStr">
        <is>
          <t>BİRİM FİYAT ($/ml)</t>
        </is>
      </c>
      <c r="F27" s="3" t="inlineStr">
        <is>
          <t>TUTAR ($)</t>
        </is>
      </c>
      <c r="G27" s="3" t="inlineStr"/>
      <c r="H27" s="3" t="inlineStr"/>
      <c r="I27" s="3" t="inlineStr"/>
    </row>
    <row r="28" ht="20" customHeight="1">
      <c r="A28" s="4" t="inlineStr">
        <is>
          <t>Dikey İç Dikişler (Gövde Shell)</t>
        </is>
      </c>
      <c r="B28" s="4" t="inlineStr">
        <is>
          <t>ml</t>
        </is>
      </c>
      <c r="C28" s="4" t="inlineStr">
        <is>
          <t>~220 ml</t>
        </is>
      </c>
      <c r="D28" s="4" t="inlineStr">
        <is>
          <t>SAW/SMAW</t>
        </is>
      </c>
      <c r="E28" s="13" t="inlineStr"/>
      <c r="F28" s="4" t="inlineStr"/>
      <c r="G28" s="15" t="inlineStr"/>
      <c r="H28" s="15" t="inlineStr"/>
      <c r="I28" s="15" t="inlineStr"/>
    </row>
    <row r="29" ht="20" customHeight="1">
      <c r="A29" s="5" t="inlineStr">
        <is>
          <t>Yatay Çevre Dikişleri (Gövde)</t>
        </is>
      </c>
      <c r="B29" s="5" t="inlineStr">
        <is>
          <t>ml</t>
        </is>
      </c>
      <c r="C29" s="5" t="inlineStr">
        <is>
          <t>~160 ml</t>
        </is>
      </c>
      <c r="D29" s="5" t="inlineStr">
        <is>
          <t>SAW/SMAW</t>
        </is>
      </c>
      <c r="E29" s="13" t="inlineStr"/>
      <c r="F29" s="5" t="inlineStr"/>
      <c r="G29" s="15" t="inlineStr"/>
      <c r="H29" s="15" t="inlineStr"/>
      <c r="I29" s="15" t="inlineStr"/>
    </row>
    <row r="30" ht="20" customHeight="1">
      <c r="A30" s="4" t="inlineStr">
        <is>
          <t>Taban Plaka Dikişleri</t>
        </is>
      </c>
      <c r="B30" s="4" t="inlineStr">
        <is>
          <t>ml</t>
        </is>
      </c>
      <c r="C30" s="4" t="inlineStr">
        <is>
          <t>~280 ml</t>
        </is>
      </c>
      <c r="D30" s="4" t="inlineStr">
        <is>
          <t>SAW/SMAW</t>
        </is>
      </c>
      <c r="E30" s="13" t="inlineStr"/>
      <c r="F30" s="4" t="inlineStr"/>
      <c r="G30" s="15" t="inlineStr"/>
      <c r="H30" s="15" t="inlineStr"/>
      <c r="I30" s="15" t="inlineStr"/>
    </row>
    <row r="31" ht="20" customHeight="1">
      <c r="A31" s="5" t="inlineStr">
        <is>
          <t>Tavan Plaka Dikişleri</t>
        </is>
      </c>
      <c r="B31" s="5" t="inlineStr">
        <is>
          <t>ml</t>
        </is>
      </c>
      <c r="C31" s="5" t="inlineStr">
        <is>
          <t>~130 ml</t>
        </is>
      </c>
      <c r="D31" s="5" t="inlineStr">
        <is>
          <t>SAW/SMAW</t>
        </is>
      </c>
      <c r="E31" s="13" t="inlineStr"/>
      <c r="F31" s="5" t="inlineStr"/>
      <c r="G31" s="15" t="inlineStr"/>
      <c r="H31" s="15" t="inlineStr"/>
      <c r="I31" s="15" t="inlineStr"/>
    </row>
    <row r="32" ht="20" customHeight="1">
      <c r="A32" s="4" t="inlineStr">
        <is>
          <t>Nozul Kaynakları</t>
        </is>
      </c>
      <c r="B32" s="4" t="inlineStr">
        <is>
          <t>adet</t>
        </is>
      </c>
      <c r="C32" s="4" t="inlineStr">
        <is>
          <t>~12 nozul</t>
        </is>
      </c>
      <c r="D32" s="4" t="inlineStr">
        <is>
          <t>SAW/SMAW</t>
        </is>
      </c>
      <c r="E32" s="13" t="inlineStr"/>
      <c r="F32" s="4" t="inlineStr"/>
      <c r="G32" s="15" t="inlineStr"/>
      <c r="H32" s="15" t="inlineStr"/>
      <c r="I32" s="15" t="inlineStr"/>
    </row>
    <row r="33" ht="20" customHeight="1">
      <c r="A33" s="5" t="inlineStr">
        <is>
          <t>Manhol Kaynakları</t>
        </is>
      </c>
      <c r="B33" s="5" t="inlineStr">
        <is>
          <t>adet</t>
        </is>
      </c>
      <c r="C33" s="5" t="inlineStr">
        <is>
          <t>~2 manhol</t>
        </is>
      </c>
      <c r="D33" s="5" t="inlineStr">
        <is>
          <t>SAW/SMAW</t>
        </is>
      </c>
      <c r="E33" s="13" t="inlineStr"/>
      <c r="F33" s="5" t="inlineStr"/>
      <c r="G33" s="15" t="inlineStr"/>
      <c r="H33" s="15" t="inlineStr"/>
      <c r="I33" s="15" t="inlineStr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</sheetData>
  <mergeCells count="3">
    <mergeCell ref="A1:I1"/>
    <mergeCell ref="A26:I26"/>
    <mergeCell ref="A21:I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18" customWidth="1" min="3" max="3"/>
    <col width="18" customWidth="1" min="4" max="4"/>
    <col width="28" customWidth="1" min="5" max="5"/>
  </cols>
  <sheetData>
    <row r="1" ht="22" customHeight="1">
      <c r="A1" s="1" t="inlineStr">
        <is>
          <t>7000 Bbl ÜRETİM TANKI — TOPLAM AĞIRLIK ÖZETİ  (1 TANK İÇİN)</t>
        </is>
      </c>
    </row>
    <row r="2">
      <c r="A2" s="3" t="inlineStr">
        <is>
          <t>BÖLÜM</t>
        </is>
      </c>
      <c r="B2" s="3" t="inlineStr">
        <is>
          <t>AÇIKLAMA</t>
        </is>
      </c>
      <c r="C2" s="3" t="inlineStr">
        <is>
          <t>AĞIRLIK (kg)</t>
        </is>
      </c>
      <c r="D2" s="3" t="inlineStr">
        <is>
          <t>DURUM</t>
        </is>
      </c>
      <c r="E2" s="3" t="inlineStr">
        <is>
          <t>KAYNAK ÇİZİM</t>
        </is>
      </c>
    </row>
    <row r="3">
      <c r="A3" s="4" t="inlineStr">
        <is>
          <t>GÖVDE</t>
        </is>
      </c>
      <c r="B3" s="12" t="inlineStr">
        <is>
          <t>Silindirik Gövde Sacları</t>
        </is>
      </c>
      <c r="C3" s="4" t="n">
        <v>16513</v>
      </c>
      <c r="D3" s="16" t="inlineStr">
        <is>
          <t>Onaylı</t>
        </is>
      </c>
      <c r="E3" s="4" t="inlineStr">
        <is>
          <t>KEY199MECEQP2001</t>
        </is>
      </c>
    </row>
    <row r="4">
      <c r="A4" s="5" t="inlineStr">
        <is>
          <t>TABAN</t>
        </is>
      </c>
      <c r="B4" s="14" t="inlineStr">
        <is>
          <t>Taban Plakaları</t>
        </is>
      </c>
      <c r="C4" s="5" t="n">
        <v>11176.7</v>
      </c>
      <c r="D4" s="16" t="inlineStr">
        <is>
          <t>Onaylı</t>
        </is>
      </c>
      <c r="E4" s="5" t="inlineStr">
        <is>
          <t>KEY199MECEQP2003</t>
        </is>
      </c>
    </row>
    <row r="5">
      <c r="A5" s="4" t="inlineStr">
        <is>
          <t>TABAN</t>
        </is>
      </c>
      <c r="B5" s="12" t="inlineStr">
        <is>
          <t>Drenaj Çukuru (Pit)</t>
        </is>
      </c>
      <c r="C5" s="4" t="n">
        <v>76.09999999999999</v>
      </c>
      <c r="D5" s="16" t="inlineStr">
        <is>
          <t>Onaylı</t>
        </is>
      </c>
      <c r="E5" s="4" t="inlineStr">
        <is>
          <t>KEY199MECEQP2003</t>
        </is>
      </c>
    </row>
    <row r="6">
      <c r="A6" s="5" t="inlineStr">
        <is>
          <t>TAVAN</t>
        </is>
      </c>
      <c r="B6" s="14" t="inlineStr">
        <is>
          <t>Konik Tavan Sacları</t>
        </is>
      </c>
      <c r="C6" s="5" t="n">
        <v>8147</v>
      </c>
      <c r="D6" s="16" t="inlineStr">
        <is>
          <t>Onaylı</t>
        </is>
      </c>
      <c r="E6" s="5" t="inlineStr">
        <is>
          <t>KEY199MECEQP2002 (MKD-208/209)</t>
        </is>
      </c>
    </row>
    <row r="7">
      <c r="A7" s="4" t="inlineStr">
        <is>
          <t>TAVAN İSKELET</t>
        </is>
      </c>
      <c r="B7" s="12" t="inlineStr">
        <is>
          <t>Konik Çatı Yapısal (UNP+Boru+PL)</t>
        </is>
      </c>
      <c r="C7" s="4" t="inlineStr">
        <is>
          <t>Hesaplanıyor</t>
        </is>
      </c>
      <c r="D7" s="13" t="inlineStr">
        <is>
          <t>Kontrol gerekli</t>
        </is>
      </c>
      <c r="E7" s="4" t="inlineStr">
        <is>
          <t>456-1200-12-MKG-207</t>
        </is>
      </c>
    </row>
    <row r="8">
      <c r="A8" s="5" t="inlineStr">
        <is>
          <t>NOZUL N1</t>
        </is>
      </c>
      <c r="B8" s="14" t="inlineStr">
        <is>
          <t>12" Giriş/Çıkış Nozulu × 1</t>
        </is>
      </c>
      <c r="C8" s="5" t="n">
        <v>68.5</v>
      </c>
      <c r="D8" s="16" t="inlineStr">
        <is>
          <t>Onaylı</t>
        </is>
      </c>
      <c r="E8" s="5" t="inlineStr">
        <is>
          <t>MKD-205</t>
        </is>
      </c>
    </row>
    <row r="9">
      <c r="A9" s="4" t="inlineStr">
        <is>
          <t>NOZUL N3</t>
        </is>
      </c>
      <c r="B9" s="12" t="inlineStr">
        <is>
          <t>6" Nozulu × 2 adet</t>
        </is>
      </c>
      <c r="C9" s="4" t="n">
        <v>124</v>
      </c>
      <c r="D9" s="16" t="inlineStr">
        <is>
          <t>Onaylı</t>
        </is>
      </c>
      <c r="E9" s="4" t="inlineStr">
        <is>
          <t>MKD-205</t>
        </is>
      </c>
    </row>
    <row r="10">
      <c r="A10" s="5" t="inlineStr">
        <is>
          <t>NOZUL N8</t>
        </is>
      </c>
      <c r="B10" s="14" t="inlineStr">
        <is>
          <t>8" Nozulu × 1</t>
        </is>
      </c>
      <c r="C10" s="5" t="n">
        <v>31.9</v>
      </c>
      <c r="D10" s="16" t="inlineStr">
        <is>
          <t>Onaylı</t>
        </is>
      </c>
      <c r="E10" s="5" t="inlineStr">
        <is>
          <t>MKD-205</t>
        </is>
      </c>
    </row>
    <row r="11">
      <c r="A11" s="4" t="inlineStr">
        <is>
          <t>NOZUL N9</t>
        </is>
      </c>
      <c r="B11" s="12" t="inlineStr">
        <is>
          <t>4" Nozulu × 1</t>
        </is>
      </c>
      <c r="C11" s="4" t="n">
        <v>14.7</v>
      </c>
      <c r="D11" s="16" t="inlineStr">
        <is>
          <t>Onaylı</t>
        </is>
      </c>
      <c r="E11" s="4" t="inlineStr">
        <is>
          <t>MKD-205</t>
        </is>
      </c>
    </row>
    <row r="12">
      <c r="A12" s="5" t="inlineStr">
        <is>
          <t>NOZUL N9</t>
        </is>
      </c>
      <c r="B12" s="14" t="inlineStr">
        <is>
          <t>1.5" Nozulu × 1</t>
        </is>
      </c>
      <c r="C12" s="5" t="n">
        <v>2.65</v>
      </c>
      <c r="D12" s="16" t="inlineStr">
        <is>
          <t>Onaylı</t>
        </is>
      </c>
      <c r="E12" s="5" t="inlineStr">
        <is>
          <t>MKD-205</t>
        </is>
      </c>
    </row>
    <row r="13">
      <c r="A13" s="4" t="inlineStr">
        <is>
          <t>NOZUL N18</t>
        </is>
      </c>
      <c r="B13" s="12" t="inlineStr">
        <is>
          <t>1" Nozulu × 1</t>
        </is>
      </c>
      <c r="C13" s="4" t="n">
        <v>1.7</v>
      </c>
      <c r="D13" s="16" t="inlineStr">
        <is>
          <t>Onaylı</t>
        </is>
      </c>
      <c r="E13" s="4" t="inlineStr">
        <is>
          <t>MKD-205</t>
        </is>
      </c>
    </row>
    <row r="14">
      <c r="A14" s="5" t="inlineStr">
        <is>
          <t>NOZUL N21</t>
        </is>
      </c>
      <c r="B14" s="14" t="inlineStr">
        <is>
          <t>12" Nozulu × 4 adet</t>
        </is>
      </c>
      <c r="C14" s="5" t="n">
        <v>244.4</v>
      </c>
      <c r="D14" s="16" t="inlineStr">
        <is>
          <t>Onaylı</t>
        </is>
      </c>
      <c r="E14" s="5" t="inlineStr">
        <is>
          <t>MKD-205</t>
        </is>
      </c>
    </row>
    <row r="15">
      <c r="A15" s="4" t="inlineStr">
        <is>
          <t>MANHOL M1</t>
        </is>
      </c>
      <c r="B15" s="12" t="inlineStr">
        <is>
          <t>24" Gövde Manholu × 1</t>
        </is>
      </c>
      <c r="C15" s="4" t="n">
        <v>180</v>
      </c>
      <c r="D15" s="16" t="inlineStr">
        <is>
          <t>Onaylı</t>
        </is>
      </c>
      <c r="E15" s="4" t="inlineStr">
        <is>
          <t>MKD-204</t>
        </is>
      </c>
    </row>
    <row r="16">
      <c r="A16" s="5" t="inlineStr">
        <is>
          <t>MANHOL M2</t>
        </is>
      </c>
      <c r="B16" s="14" t="inlineStr">
        <is>
          <t>24" Tavan Manholu × 1</t>
        </is>
      </c>
      <c r="C16" s="5" t="n">
        <v>132.5</v>
      </c>
      <c r="D16" s="16" t="inlineStr">
        <is>
          <t>Onaylı</t>
        </is>
      </c>
      <c r="E16" s="5" t="inlineStr">
        <is>
          <t>MKD-204</t>
        </is>
      </c>
    </row>
    <row r="17">
      <c r="A17" s="4" t="inlineStr">
        <is>
          <t>ANKRAJ</t>
        </is>
      </c>
      <c r="B17" s="12" t="inlineStr">
        <is>
          <t>Ankraj Detayı</t>
        </is>
      </c>
      <c r="C17" s="4" t="n">
        <v>13.5</v>
      </c>
      <c r="D17" s="16" t="inlineStr">
        <is>
          <t>Onaylı</t>
        </is>
      </c>
      <c r="E17" s="4" t="inlineStr">
        <is>
          <t>KEY199MECEQP2001</t>
        </is>
      </c>
    </row>
    <row r="18">
      <c r="A18" s="5" t="inlineStr">
        <is>
          <t>İSİM PLAKASI</t>
        </is>
      </c>
      <c r="B18" s="14" t="inlineStr">
        <is>
          <t>İsim Plakası</t>
        </is>
      </c>
      <c r="C18" s="5" t="n">
        <v>5.18</v>
      </c>
      <c r="D18" s="16" t="inlineStr">
        <is>
          <t>Onaylı</t>
        </is>
      </c>
      <c r="E18" s="5" t="inlineStr">
        <is>
          <t>KEY199MECEQP2001</t>
        </is>
      </c>
    </row>
    <row r="19">
      <c r="A19" s="4" t="inlineStr">
        <is>
          <t>MERDİVEN</t>
        </is>
      </c>
      <c r="B19" s="12" t="inlineStr">
        <is>
          <t>Merdiven + Korkuluk (bekleniyor)</t>
        </is>
      </c>
      <c r="C19" s="4" t="inlineStr">
        <is>
          <t>—</t>
        </is>
      </c>
      <c r="D19" s="13" t="inlineStr">
        <is>
          <t>Bekleniyor</t>
        </is>
      </c>
      <c r="E19" s="4" t="inlineStr">
        <is>
          <t>MKD-210</t>
        </is>
      </c>
    </row>
    <row r="20">
      <c r="A20" s="5" t="inlineStr">
        <is>
          <t>SAMANDIRA</t>
        </is>
      </c>
      <c r="B20" s="14" t="inlineStr">
        <is>
          <t>Samandıra + Diğer (bekleniyor)</t>
        </is>
      </c>
      <c r="C20" s="5" t="inlineStr">
        <is>
          <t>—</t>
        </is>
      </c>
      <c r="D20" s="13" t="inlineStr">
        <is>
          <t>Bekleniyor</t>
        </is>
      </c>
      <c r="E20" s="5" t="inlineStr">
        <is>
          <t>MKD-206</t>
        </is>
      </c>
    </row>
    <row r="21">
      <c r="A21" s="4" t="inlineStr">
        <is>
          <t>TEMİZLEME</t>
        </is>
      </c>
      <c r="B21" s="12" t="inlineStr">
        <is>
          <t>24" Temizleme Nozulu</t>
        </is>
      </c>
      <c r="C21" s="4" t="n">
        <v>367</v>
      </c>
      <c r="D21" s="16" t="inlineStr">
        <is>
          <t>Onaylı</t>
        </is>
      </c>
      <c r="E21" s="4" t="inlineStr">
        <is>
          <t>MKD-211</t>
        </is>
      </c>
    </row>
    <row r="22">
      <c r="A22" s="6" t="inlineStr">
        <is>
          <t>BİLİNEN TOPLAM AĞIRLIK (1 TANK):</t>
        </is>
      </c>
      <c r="C22" s="7" t="n">
        <v>37098.8</v>
      </c>
      <c r="D22" s="7" t="inlineStr">
        <is>
          <t>Kısmi (Eksik kalemler dahil değil)</t>
        </is>
      </c>
      <c r="E22" s="7" t="inlineStr"/>
    </row>
  </sheetData>
  <mergeCells count="2">
    <mergeCell ref="A1:E1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2026-06-05T07:03:42Z</dcterms:created>
  <dcterms:modified xsi:type="dcterms:W3CDTF">2026-06-05T07:03:42Z</dcterms:modified>
</cp:coreProperties>
</file>